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Transações" sheetId="2" r:id="rId5"/>
    <sheet state="visible" name="Assinaturas" sheetId="3" r:id="rId6"/>
  </sheets>
  <definedNames>
    <definedName name="StartingBalance">Resumo!$L$8</definedName>
  </definedNames>
  <calcPr/>
</workbook>
</file>

<file path=xl/sharedStrings.xml><?xml version="1.0" encoding="utf-8"?>
<sst xmlns="http://schemas.openxmlformats.org/spreadsheetml/2006/main" count="71" uniqueCount="52">
  <si>
    <t>PRIMEIROS PASSOS</t>
  </si>
  <si>
    <t>OBSERVAÇÃO</t>
  </si>
  <si>
    <t>Defina seu saldo inicial na célula L8 e personalize as categorias e os valores das despesas planejadas nas tabelas "Renda" e "Despesas" abaixo.</t>
  </si>
  <si>
    <t>Só edite as células destacadas.</t>
  </si>
  <si>
    <t xml:space="preserve">Tente não alterar as células que contêm uma fórmula. </t>
  </si>
  <si>
    <t>Quando você digitar dados na guia "Transações", esta página será atualizada automaticamente para mostrar um resumo das suas despesas no mês.</t>
  </si>
  <si>
    <t>Orçamento mensal</t>
  </si>
  <si>
    <t xml:space="preserve">Saldo inicial: </t>
  </si>
  <si>
    <t xml:space="preserve">SALDO INICIAL </t>
  </si>
  <si>
    <t xml:space="preserve"> SALDO FINAL</t>
  </si>
  <si>
    <t>Despesas</t>
  </si>
  <si>
    <t>Renda</t>
  </si>
  <si>
    <t>Planejado</t>
  </si>
  <si>
    <t>Real</t>
  </si>
  <si>
    <t>Diferença</t>
  </si>
  <si>
    <t>Totais</t>
  </si>
  <si>
    <t>Alimentação</t>
  </si>
  <si>
    <t>Vale Alimentação</t>
  </si>
  <si>
    <t>Água</t>
  </si>
  <si>
    <t>Pagamento</t>
  </si>
  <si>
    <t>Luz</t>
  </si>
  <si>
    <t>Internet</t>
  </si>
  <si>
    <t>Transporte</t>
  </si>
  <si>
    <t>Moradia</t>
  </si>
  <si>
    <t>Celular</t>
  </si>
  <si>
    <t>Animais de estimação</t>
  </si>
  <si>
    <t>Faxina</t>
  </si>
  <si>
    <t>Seguro Carro</t>
  </si>
  <si>
    <t>Assinaturas Mensais</t>
  </si>
  <si>
    <t>Assinaturas Anuais</t>
  </si>
  <si>
    <t>Fretado</t>
  </si>
  <si>
    <t>Isabel</t>
  </si>
  <si>
    <t>Para alterar ou adicionar categorias, atualize as tabelas "Despesas" e "Renda" na página "Resumo".</t>
  </si>
  <si>
    <t>Data</t>
  </si>
  <si>
    <t>Valor</t>
  </si>
  <si>
    <t>Descrição</t>
  </si>
  <si>
    <t>Categoria</t>
  </si>
  <si>
    <t>Aluguel</t>
  </si>
  <si>
    <t>assinaturas</t>
  </si>
  <si>
    <t>chatgpt</t>
  </si>
  <si>
    <t>netflix</t>
  </si>
  <si>
    <t>contabilizei'</t>
  </si>
  <si>
    <t>youtube</t>
  </si>
  <si>
    <t>gympass</t>
  </si>
  <si>
    <t>google one</t>
  </si>
  <si>
    <t xml:space="preserve">copilot </t>
  </si>
  <si>
    <t>assinaturas anuais</t>
  </si>
  <si>
    <t>inshot</t>
  </si>
  <si>
    <t>lightroom</t>
  </si>
  <si>
    <t>faceapp</t>
  </si>
  <si>
    <t>facetune</t>
  </si>
  <si>
    <t>webdiet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</si>
</sst>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]#,##0"/>
    <numFmt numFmtId="165" formatCode="mmmm&quot; &quot;yyyy"/>
    <numFmt numFmtId="166" formatCode="&quot;$&quot;#,##0"/>
    <numFmt numFmtId="167" formatCode="+#,#%;-#,#%;0%"/>
    <numFmt numFmtId="168" formatCode="+$#,#;-$#,#;$0"/>
    <numFmt numFmtId="169" formatCode="dd/MM/yyyy"/>
    <numFmt numFmtId="170" formatCode="[$R$]#,##0.00"/>
    <numFmt numFmtId="171" formatCode="&quot;$&quot;#,##0.00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6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6" xfId="0" applyAlignment="1" applyFont="1" applyNumberFormat="1">
      <alignment vertical="bottom"/>
    </xf>
    <xf borderId="4" fillId="0" fontId="16" numFmtId="0" xfId="0" applyBorder="1" applyFont="1"/>
    <xf borderId="0" fillId="5" fontId="17" numFmtId="167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6" xfId="0" applyAlignment="1" applyFont="1" applyNumberFormat="1">
      <alignment horizontal="left" readingOrder="0" vertical="bottom"/>
    </xf>
    <xf borderId="0" fillId="0" fontId="15" numFmtId="166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164" xfId="0" applyAlignment="1" applyFont="1" applyNumberFormat="1">
      <alignment horizontal="left" readingOrder="0" vertical="center"/>
    </xf>
    <xf borderId="0" fillId="0" fontId="25" numFmtId="164" xfId="0" applyAlignment="1" applyFont="1" applyNumberFormat="1">
      <alignment horizontal="right" vertical="center"/>
    </xf>
    <xf borderId="0" fillId="4" fontId="25" numFmtId="164" xfId="0" applyAlignment="1" applyFont="1" applyNumberFormat="1">
      <alignment vertical="center"/>
    </xf>
    <xf borderId="0" fillId="0" fontId="25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7" numFmtId="164" xfId="0" applyAlignment="1" applyFont="1" applyNumberForma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164" xfId="0" applyAlignment="1" applyFont="1" applyNumberFormat="1">
      <alignment horizontal="left" vertical="center"/>
    </xf>
    <xf borderId="0" fillId="0" fontId="8" numFmtId="164" xfId="0" applyAlignment="1" applyFont="1" applyNumberFormat="1">
      <alignment vertical="center"/>
    </xf>
    <xf borderId="0" fillId="0" fontId="28" numFmtId="164" xfId="0" applyAlignment="1" applyFont="1" applyNumberFormat="1">
      <alignment horizontal="left"/>
    </xf>
    <xf borderId="0" fillId="0" fontId="29" numFmtId="164" xfId="0" applyAlignment="1" applyFont="1" applyNumberFormat="1">
      <alignment horizontal="right"/>
    </xf>
    <xf borderId="0" fillId="4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30" numFmtId="0" xfId="0" applyAlignment="1" applyFont="1">
      <alignment vertical="top"/>
    </xf>
    <xf borderId="0" fillId="0" fontId="31" numFmtId="164" xfId="0" applyAlignment="1" applyFont="1" applyNumberFormat="1">
      <alignment horizontal="left" readingOrder="0" vertical="top"/>
    </xf>
    <xf borderId="0" fillId="0" fontId="20" numFmtId="164" xfId="0" applyAlignment="1" applyFont="1" applyNumberFormat="1">
      <alignment vertical="top"/>
    </xf>
    <xf borderId="0" fillId="0" fontId="30" numFmtId="164" xfId="0" applyAlignment="1" applyFont="1" applyNumberFormat="1">
      <alignment horizontal="right" vertical="top"/>
    </xf>
    <xf borderId="0" fillId="0" fontId="32" numFmtId="164" xfId="0" applyAlignment="1" applyFont="1" applyNumberFormat="1">
      <alignment horizontal="left" readingOrder="0" vertical="top"/>
    </xf>
    <xf borderId="0" fillId="0" fontId="33" numFmtId="164" xfId="0" applyAlignment="1" applyFont="1" applyNumberForma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164" xfId="0" applyAlignment="1" applyBorder="1" applyFont="1" applyNumberFormat="1">
      <alignment horizontal="right" vertical="bottom"/>
    </xf>
    <xf borderId="12" fillId="0" fontId="35" numFmtId="164" xfId="0" applyAlignment="1" applyBorder="1" applyFont="1" applyNumberFormat="1">
      <alignment horizontal="left" vertical="bottom"/>
    </xf>
    <xf borderId="12" fillId="0" fontId="34" numFmtId="164" xfId="0" applyAlignment="1" applyBorder="1" applyFont="1" applyNumberFormat="1">
      <alignment horizontal="right" readingOrder="0" vertical="bottom"/>
    </xf>
    <xf borderId="11" fillId="0" fontId="9" numFmtId="164" xfId="0" applyAlignment="1" applyBorder="1" applyFont="1" applyNumberFormat="1">
      <alignment horizontal="right" vertical="bottom"/>
    </xf>
    <xf borderId="12" fillId="0" fontId="36" numFmtId="164" xfId="0" applyAlignment="1" applyBorder="1" applyFont="1" applyNumberFormat="1">
      <alignment horizontal="left" vertical="bottom"/>
    </xf>
    <xf borderId="12" fillId="0" fontId="37" numFmtId="164" xfId="0" applyAlignment="1" applyBorder="1" applyFont="1" applyNumberFormat="1">
      <alignment horizontal="left" vertical="bottom"/>
    </xf>
    <xf borderId="0" fillId="0" fontId="38" numFmtId="0" xfId="0" applyAlignment="1" applyFont="1">
      <alignment vertical="top"/>
    </xf>
    <xf borderId="13" fillId="0" fontId="38" numFmtId="164" xfId="0" applyAlignment="1" applyBorder="1" applyFont="1" applyNumberFormat="1">
      <alignment readingOrder="0" vertical="top"/>
    </xf>
    <xf borderId="13" fillId="0" fontId="38" numFmtId="164" xfId="0" applyAlignment="1" applyBorder="1" applyFont="1" applyNumberFormat="1">
      <alignment vertical="top"/>
    </xf>
    <xf borderId="13" fillId="0" fontId="38" numFmtId="164" xfId="0" applyAlignment="1" applyBorder="1" applyFont="1" applyNumberFormat="1">
      <alignment horizontal="right" vertical="top"/>
    </xf>
    <xf borderId="0" fillId="0" fontId="38" numFmtId="164" xfId="0" applyAlignment="1" applyFont="1" applyNumberFormat="1">
      <alignment horizontal="right" vertical="top"/>
    </xf>
    <xf borderId="13" fillId="0" fontId="38" numFmtId="164" xfId="0" applyAlignment="1" applyBorder="1" applyFont="1" applyNumberFormat="1">
      <alignment horizontal="left" readingOrder="0" vertical="top"/>
    </xf>
    <xf borderId="13" fillId="0" fontId="38" numFmtId="164" xfId="0" applyAlignment="1" applyBorder="1" applyFont="1" applyNumberFormat="1">
      <alignment horizontal="right" readingOrder="0" vertical="top"/>
    </xf>
    <xf borderId="0" fillId="0" fontId="9" numFmtId="0" xfId="0" applyAlignment="1" applyFont="1">
      <alignment vertical="center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4" xfId="0" applyAlignment="1" applyBorder="1" applyFont="1" applyNumberFormat="1">
      <alignment readingOrder="0"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4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22" fillId="0" fontId="40" numFmtId="164" xfId="0" applyAlignment="1" applyBorder="1" applyFont="1" applyNumberFormat="1">
      <alignment readingOrder="0" vertical="center"/>
    </xf>
    <xf borderId="20" fillId="0" fontId="42" numFmtId="164" xfId="0" applyAlignment="1" applyBorder="1" applyFont="1" applyNumberFormat="1">
      <alignment readingOrder="0"/>
    </xf>
    <xf borderId="22" fillId="0" fontId="43" numFmtId="164" xfId="0" applyAlignment="1" applyBorder="1" applyFont="1" applyNumberFormat="1">
      <alignment readingOrder="0"/>
    </xf>
    <xf borderId="22" fillId="0" fontId="42" numFmtId="164" xfId="0" applyAlignment="1" applyBorder="1" applyFont="1" applyNumberFormat="1">
      <alignment readingOrder="0"/>
    </xf>
    <xf borderId="22" fillId="0" fontId="39" numFmtId="166" xfId="0" applyAlignment="1" applyBorder="1" applyFont="1" applyNumberFormat="1">
      <alignment readingOrder="0" vertical="center"/>
    </xf>
    <xf borderId="22" fillId="0" fontId="40" numFmtId="166" xfId="0" applyAlignment="1" applyBorder="1" applyFont="1" applyNumberFormat="1">
      <alignment horizontal="right" readingOrder="0"/>
    </xf>
    <xf borderId="0" fillId="0" fontId="40" numFmtId="166" xfId="0" applyAlignment="1" applyFont="1" applyNumberFormat="1">
      <alignment horizontal="right" vertical="center"/>
    </xf>
    <xf borderId="0" fillId="0" fontId="41" numFmtId="168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2" fillId="0" fontId="42" numFmtId="0" xfId="0" applyAlignment="1" applyBorder="1" applyFont="1">
      <alignment readingOrder="0"/>
    </xf>
    <xf borderId="22" fillId="0" fontId="43" numFmtId="166" xfId="0" applyAlignment="1" applyBorder="1" applyFont="1" applyNumberFormat="1">
      <alignment readingOrder="0"/>
    </xf>
    <xf borderId="20" fillId="0" fontId="39" numFmtId="166" xfId="0" applyAlignment="1" applyBorder="1" applyFont="1" applyNumberFormat="1">
      <alignment readingOrder="0" vertical="center"/>
    </xf>
    <xf borderId="22" fillId="0" fontId="40" numFmtId="166" xfId="0" applyAlignment="1" applyBorder="1" applyFont="1" applyNumberFormat="1">
      <alignment horizontal="right" readingOrder="0" vertical="center"/>
    </xf>
    <xf borderId="20" fillId="0" fontId="42" numFmtId="0" xfId="0" applyAlignment="1" applyBorder="1" applyFont="1">
      <alignment readingOrder="0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readingOrder="0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readingOrder="0" vertical="center"/>
    </xf>
    <xf borderId="24" fillId="0" fontId="41" numFmtId="169" xfId="0" applyAlignment="1" applyBorder="1" applyFont="1" applyNumberFormat="1">
      <alignment horizontal="left" readingOrder="0" vertical="center"/>
    </xf>
    <xf borderId="24" fillId="0" fontId="26" numFmtId="170" xfId="0" applyAlignment="1" applyBorder="1" applyFont="1" applyNumberFormat="1">
      <alignment horizontal="left" readingOrder="0" vertical="center"/>
    </xf>
    <xf borderId="24" fillId="0" fontId="45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169" xfId="0" applyAlignment="1" applyBorder="1" applyFont="1" applyNumberFormat="1">
      <alignment horizontal="left" readingOrder="0" vertical="center"/>
    </xf>
    <xf borderId="25" fillId="0" fontId="26" numFmtId="171" xfId="0" applyAlignment="1" applyBorder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41" numFmtId="169" xfId="0" applyAlignment="1" applyBorder="1" applyFont="1" applyNumberFormat="1">
      <alignment horizontal="left" vertical="center"/>
    </xf>
    <xf borderId="25" fillId="0" fontId="26" numFmtId="171" xfId="0" applyAlignment="1" applyBorder="1" applyFont="1" applyNumberFormat="1">
      <alignment horizontal="left" vertical="center"/>
    </xf>
    <xf borderId="25" fillId="0" fontId="45" numFmtId="0" xfId="0" applyAlignment="1" applyBorder="1" applyFont="1">
      <alignment horizontal="left" vertical="center"/>
    </xf>
    <xf borderId="26" fillId="0" fontId="41" numFmtId="169" xfId="0" applyAlignment="1" applyBorder="1" applyFont="1" applyNumberFormat="1">
      <alignment horizontal="left" vertical="center"/>
    </xf>
    <xf borderId="26" fillId="0" fontId="26" numFmtId="171" xfId="0" applyAlignment="1" applyBorder="1" applyFont="1" applyNumberFormat="1">
      <alignment horizontal="left" readingOrder="0" vertical="center"/>
    </xf>
    <xf borderId="26" fillId="0" fontId="4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71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6" width="10.88"/>
    <col customWidth="1" min="7" max="7" width="8.88"/>
    <col customWidth="1" min="8" max="12" width="9.38"/>
    <col customWidth="1" min="13" max="13" width="6.13"/>
  </cols>
  <sheetData>
    <row r="1" ht="12.0" hidden="1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hidden="1" customHeight="1">
      <c r="A2" s="3"/>
      <c r="B2" s="4" t="s">
        <v>0</v>
      </c>
      <c r="I2" s="5" t="s">
        <v>1</v>
      </c>
      <c r="M2" s="3"/>
    </row>
    <row r="3" ht="16.5" hidden="1" customHeight="1">
      <c r="A3" s="6"/>
      <c r="B3" s="7" t="s">
        <v>2</v>
      </c>
      <c r="H3" s="8"/>
      <c r="I3" s="9" t="s">
        <v>3</v>
      </c>
      <c r="M3" s="10"/>
    </row>
    <row r="4" ht="10.5" hidden="1" customHeight="1">
      <c r="A4" s="6"/>
      <c r="H4" s="8"/>
      <c r="I4" s="11" t="s">
        <v>4</v>
      </c>
    </row>
    <row r="5" hidden="1">
      <c r="A5" s="6"/>
      <c r="B5" s="7" t="s">
        <v>5</v>
      </c>
      <c r="H5" s="8"/>
    </row>
    <row r="6" ht="23.25" hidden="1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F8" s="18"/>
      <c r="G8" s="22"/>
      <c r="H8" s="18"/>
      <c r="I8" s="23"/>
      <c r="J8" s="24" t="s">
        <v>7</v>
      </c>
      <c r="L8" s="25"/>
      <c r="M8" s="18"/>
    </row>
    <row r="9" ht="18.0" customHeight="1">
      <c r="A9" s="20"/>
      <c r="F9" s="18"/>
      <c r="G9" s="22"/>
      <c r="H9" s="18"/>
      <c r="I9" s="26"/>
      <c r="J9" s="18"/>
      <c r="K9" s="18"/>
      <c r="L9" s="22"/>
      <c r="M9" s="18"/>
    </row>
    <row r="10" ht="18.0" customHeight="1">
      <c r="A10" s="18"/>
      <c r="B10" s="27"/>
      <c r="C10" s="27"/>
      <c r="D10" s="27"/>
      <c r="E10" s="27"/>
      <c r="F10" s="18"/>
      <c r="G10" s="22"/>
      <c r="H10" s="18"/>
      <c r="I10" s="26"/>
      <c r="J10" s="18"/>
      <c r="K10" s="18"/>
      <c r="L10" s="22"/>
      <c r="M10" s="18"/>
    </row>
    <row r="11" ht="12.0" customHeight="1">
      <c r="A11" s="15"/>
      <c r="B11" s="28"/>
      <c r="C11" s="28"/>
      <c r="D11" s="29"/>
      <c r="E11" s="15"/>
      <c r="F11" s="15"/>
      <c r="G11" s="23"/>
      <c r="H11" s="30"/>
      <c r="I11" s="31"/>
      <c r="J11" s="31"/>
      <c r="K11" s="31"/>
      <c r="L11" s="32"/>
      <c r="M11" s="15"/>
    </row>
    <row r="12" ht="18.0" customHeight="1">
      <c r="A12" s="23"/>
      <c r="B12" s="15"/>
      <c r="C12" s="23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3"/>
    </row>
    <row r="13" ht="18.0" customHeight="1">
      <c r="A13" s="23"/>
      <c r="B13" s="15"/>
      <c r="C13" s="37"/>
      <c r="D13" s="38"/>
      <c r="F13" s="15"/>
      <c r="G13" s="15"/>
      <c r="H13" s="34"/>
      <c r="I13" s="39" t="str">
        <f>iferror(E17/D17-1, "")</f>
        <v/>
      </c>
      <c r="L13" s="36"/>
      <c r="M13" s="40"/>
    </row>
    <row r="14" ht="24.0" customHeight="1">
      <c r="A14" s="15"/>
      <c r="B14" s="15"/>
      <c r="C14" s="37"/>
      <c r="D14" s="38"/>
      <c r="F14" s="15"/>
      <c r="G14" s="15"/>
      <c r="H14" s="34"/>
      <c r="I14" s="41" t="str">
        <f>if(I13 &lt; 0, "Redução da economia total", "Aumento da economia total")</f>
        <v>Aumento da economia total</v>
      </c>
      <c r="J14" s="42"/>
      <c r="K14" s="42"/>
      <c r="L14" s="36"/>
      <c r="M14" s="43"/>
    </row>
    <row r="15" ht="39.75" customHeight="1">
      <c r="A15" s="15"/>
      <c r="B15" s="15"/>
      <c r="C15" s="37"/>
      <c r="D15" s="38"/>
      <c r="F15" s="15"/>
      <c r="G15" s="37"/>
      <c r="H15" s="34"/>
      <c r="I15" s="44">
        <f>iferror(E17-D17, 0)</f>
        <v>11318</v>
      </c>
      <c r="L15" s="45"/>
      <c r="M15" s="43"/>
    </row>
    <row r="16" ht="18.0" customHeight="1">
      <c r="A16" s="15"/>
      <c r="B16" s="28"/>
      <c r="C16" s="46"/>
      <c r="D16" s="47" t="s">
        <v>8</v>
      </c>
      <c r="E16" s="48" t="s">
        <v>9</v>
      </c>
      <c r="F16" s="46"/>
      <c r="G16" s="49"/>
      <c r="H16" s="34"/>
      <c r="I16" s="50" t="str">
        <f>if(J15&lt;0, "Despesa do mês", "Economia do mês")</f>
        <v>Economia do mês</v>
      </c>
      <c r="L16" s="36"/>
      <c r="M16" s="51"/>
    </row>
    <row r="17" ht="18.0" customHeight="1">
      <c r="A17" s="23"/>
      <c r="B17" s="15"/>
      <c r="C17" s="23"/>
      <c r="D17" s="52">
        <f>if(isblank(L8),0,L8)</f>
        <v>0</v>
      </c>
      <c r="E17" s="53">
        <f>D17+(I22-C22)</f>
        <v>11318</v>
      </c>
      <c r="F17" s="23"/>
      <c r="G17" s="37"/>
      <c r="H17" s="34"/>
      <c r="I17" s="35"/>
      <c r="L17" s="36"/>
      <c r="M17" s="23"/>
    </row>
    <row r="18" ht="12.0" customHeight="1">
      <c r="A18" s="23"/>
      <c r="B18" s="54"/>
      <c r="C18" s="54"/>
      <c r="D18" s="54"/>
      <c r="E18" s="54"/>
      <c r="F18" s="54"/>
      <c r="G18" s="23"/>
      <c r="H18" s="55"/>
      <c r="I18" s="56"/>
      <c r="J18" s="57"/>
      <c r="K18" s="56"/>
      <c r="L18" s="58"/>
      <c r="M18" s="23"/>
    </row>
    <row r="19" ht="24.0" customHeight="1">
      <c r="A19" s="23"/>
      <c r="B19" s="54"/>
      <c r="C19" s="54"/>
      <c r="D19" s="54"/>
      <c r="E19" s="54"/>
      <c r="F19" s="54"/>
      <c r="G19" s="23"/>
      <c r="H19" s="23"/>
      <c r="I19" s="23"/>
      <c r="J19" s="59"/>
      <c r="K19" s="23"/>
      <c r="L19" s="23"/>
      <c r="M19" s="23"/>
    </row>
    <row r="20" ht="24.0" customHeight="1">
      <c r="A20" s="60"/>
      <c r="B20" s="61" t="s">
        <v>10</v>
      </c>
      <c r="G20" s="60"/>
      <c r="H20" s="61" t="s">
        <v>11</v>
      </c>
      <c r="I20" s="61"/>
      <c r="J20" s="62"/>
      <c r="K20" s="60"/>
      <c r="L20" s="60"/>
      <c r="M20" s="60"/>
    </row>
    <row r="21" ht="19.5" customHeight="1">
      <c r="A21" s="63"/>
      <c r="B21" s="64" t="s">
        <v>12</v>
      </c>
      <c r="C21" s="65">
        <f>D26</f>
        <v>13552.075</v>
      </c>
      <c r="D21" s="66" t="str">
        <f>IFERROR(__xludf.DUMMYFUNCTION("SPARKLINE(C21,{""charttype"",""bar"";""max"",max(C21:C22);""color1"",""#AEB7C0""})"),"")</f>
        <v/>
      </c>
      <c r="G21" s="67"/>
      <c r="H21" s="64" t="s">
        <v>12</v>
      </c>
      <c r="I21" s="65">
        <f>J26</f>
        <v>13967</v>
      </c>
      <c r="J21" s="66" t="str">
        <f>IFERROR(__xludf.DUMMYFUNCTION("SPARKLINE(I21,{""charttype"",""bar"";""max"",max(I21:I22);""color1"",""#AEB7C0""})"),"")</f>
        <v/>
      </c>
      <c r="M21" s="63"/>
    </row>
    <row r="22" ht="19.5" customHeight="1">
      <c r="A22" s="68"/>
      <c r="B22" s="69" t="s">
        <v>13</v>
      </c>
      <c r="C22" s="70">
        <f>E26</f>
        <v>1100</v>
      </c>
      <c r="D22" s="71" t="str">
        <f>IFERROR(__xludf.DUMMYFUNCTION("SPARKLINE(C22,{""charttype"",""bar"";""max"",max(C21:C22);""color1"",""#334960""})"),"")</f>
        <v/>
      </c>
      <c r="G22" s="72"/>
      <c r="H22" s="69" t="s">
        <v>13</v>
      </c>
      <c r="I22" s="70">
        <f>K26</f>
        <v>12418</v>
      </c>
      <c r="J22" s="71" t="str">
        <f>IFERROR(__xludf.DUMMYFUNCTION("SPARKLINE(I22,{""charttype"",""bar"";""max"",max(I21:I22);""color1"",""#334960""})"),"")</f>
        <v/>
      </c>
      <c r="M22" s="68"/>
    </row>
    <row r="23" ht="30.0" customHeight="1">
      <c r="A23" s="15"/>
      <c r="B23" s="73"/>
      <c r="C23" s="74"/>
      <c r="D23" s="75"/>
      <c r="G23" s="76"/>
      <c r="H23" s="73"/>
      <c r="I23" s="74"/>
      <c r="J23" s="75"/>
      <c r="M23" s="68"/>
    </row>
    <row r="24" ht="29.25" customHeight="1">
      <c r="A24" s="77"/>
      <c r="B24" s="78" t="s">
        <v>10</v>
      </c>
      <c r="D24" s="79"/>
      <c r="E24" s="79"/>
      <c r="F24" s="79"/>
      <c r="G24" s="80"/>
      <c r="H24" s="81" t="s">
        <v>11</v>
      </c>
      <c r="I24" s="82"/>
      <c r="J24" s="79"/>
      <c r="K24" s="79"/>
      <c r="L24" s="79"/>
      <c r="M24" s="77"/>
    </row>
    <row r="25" ht="19.5" customHeight="1">
      <c r="A25" s="83"/>
      <c r="B25" s="84"/>
      <c r="C25" s="85"/>
      <c r="D25" s="86" t="s">
        <v>12</v>
      </c>
      <c r="E25" s="86" t="s">
        <v>13</v>
      </c>
      <c r="F25" s="86" t="s">
        <v>14</v>
      </c>
      <c r="G25" s="87"/>
      <c r="H25" s="88"/>
      <c r="I25" s="89"/>
      <c r="J25" s="86" t="s">
        <v>12</v>
      </c>
      <c r="K25" s="86" t="s">
        <v>13</v>
      </c>
      <c r="L25" s="86" t="s">
        <v>14</v>
      </c>
      <c r="M25" s="83"/>
    </row>
    <row r="26" ht="17.25" customHeight="1">
      <c r="A26" s="90"/>
      <c r="B26" s="91" t="s">
        <v>15</v>
      </c>
      <c r="C26" s="92"/>
      <c r="D26" s="93">
        <f t="shared" ref="D26:F26" si="1">sum(D27:D43)</f>
        <v>13552.075</v>
      </c>
      <c r="E26" s="93">
        <f t="shared" si="1"/>
        <v>1100</v>
      </c>
      <c r="F26" s="93">
        <f t="shared" si="1"/>
        <v>12452.075</v>
      </c>
      <c r="G26" s="94"/>
      <c r="H26" s="95" t="s">
        <v>15</v>
      </c>
      <c r="I26" s="96"/>
      <c r="J26" s="93">
        <f t="shared" ref="J26:L26" si="2">sum(J27:J43)</f>
        <v>13967</v>
      </c>
      <c r="K26" s="93">
        <f t="shared" si="2"/>
        <v>12418</v>
      </c>
      <c r="L26" s="93">
        <f t="shared" si="2"/>
        <v>-1549</v>
      </c>
      <c r="M26" s="90"/>
    </row>
    <row r="27" ht="18.0" hidden="1" customHeight="1">
      <c r="A27" s="97"/>
      <c r="B27" s="98"/>
      <c r="C27" s="99"/>
      <c r="D27" s="100"/>
      <c r="E27" s="101" t="str">
        <f>if(isblank($B27), "", sumif('Transações'!$E:$E,$B27,'Transações'!$C:$C))</f>
        <v/>
      </c>
      <c r="F27" s="101" t="str">
        <f t="shared" ref="F27:F41" si="3">if(isblank($B27), "", D27-E27)</f>
        <v/>
      </c>
      <c r="G27" s="102"/>
      <c r="H27" s="103"/>
      <c r="I27" s="104"/>
      <c r="J27" s="105"/>
      <c r="K27" s="101" t="str">
        <f>if(isblank($H27), "", sumif('Transações'!$J:$J,$H27,'Transações'!$H:$H))</f>
        <v/>
      </c>
      <c r="L27" s="101" t="str">
        <f t="shared" ref="L27:L30" si="4">if(isblank($H27), "", K27-J27)</f>
        <v/>
      </c>
      <c r="M27" s="97"/>
    </row>
    <row r="28" ht="18.0" customHeight="1">
      <c r="A28" s="97"/>
      <c r="B28" s="106" t="s">
        <v>16</v>
      </c>
      <c r="C28" s="107"/>
      <c r="D28" s="108">
        <v>3000.0</v>
      </c>
      <c r="E28" s="101">
        <f>if(isblank($B28), "", sumif('Transações'!$E:$E,$B28,'Transações'!$C:$C))</f>
        <v>0</v>
      </c>
      <c r="F28" s="109">
        <f t="shared" si="3"/>
        <v>3000</v>
      </c>
      <c r="G28" s="102"/>
      <c r="H28" s="106" t="s">
        <v>17</v>
      </c>
      <c r="I28" s="107"/>
      <c r="J28" s="108">
        <v>1549.0</v>
      </c>
      <c r="K28" s="101">
        <f>if(isblank($H28), "", sumif('Transações'!$J:$J,$H28,'Transações'!$H:$H))</f>
        <v>0</v>
      </c>
      <c r="L28" s="109">
        <f t="shared" si="4"/>
        <v>-1549</v>
      </c>
      <c r="M28" s="97"/>
    </row>
    <row r="29" ht="18.0" customHeight="1">
      <c r="A29" s="97"/>
      <c r="B29" s="106" t="s">
        <v>18</v>
      </c>
      <c r="C29" s="107"/>
      <c r="D29" s="108">
        <v>200.0</v>
      </c>
      <c r="E29" s="101">
        <f>if(isblank($B29), "", sumif('Transações'!$E:$E,$B29,'Transações'!$C:$C))</f>
        <v>0</v>
      </c>
      <c r="F29" s="109">
        <f t="shared" si="3"/>
        <v>200</v>
      </c>
      <c r="G29" s="102"/>
      <c r="H29" s="106" t="s">
        <v>19</v>
      </c>
      <c r="I29" s="107"/>
      <c r="J29" s="108">
        <v>12418.0</v>
      </c>
      <c r="K29" s="101">
        <f>if(isblank($H29), "", sumif('Transações'!$J:$J,$H29,'Transações'!$H:$H))</f>
        <v>12418</v>
      </c>
      <c r="L29" s="109">
        <f t="shared" si="4"/>
        <v>0</v>
      </c>
      <c r="M29" s="97"/>
    </row>
    <row r="30" ht="18.0" customHeight="1">
      <c r="A30" s="68"/>
      <c r="B30" s="106" t="s">
        <v>20</v>
      </c>
      <c r="C30" s="107"/>
      <c r="D30" s="108">
        <v>300.0</v>
      </c>
      <c r="E30" s="101">
        <f>if(isblank($B30), "", sumif('Transações'!$E:$E,$B30,'Transações'!$C:$C))</f>
        <v>0</v>
      </c>
      <c r="F30" s="109">
        <f t="shared" si="3"/>
        <v>300</v>
      </c>
      <c r="G30" s="110"/>
      <c r="H30" s="106"/>
      <c r="I30" s="107"/>
      <c r="J30" s="108"/>
      <c r="K30" s="101" t="str">
        <f>if(isblank($H30), "", sumif('Transações'!$J:$J,$H30,'Transações'!$H:$H))</f>
        <v/>
      </c>
      <c r="L30" s="109" t="str">
        <f t="shared" si="4"/>
        <v/>
      </c>
      <c r="M30" s="68"/>
    </row>
    <row r="31" ht="18.0" customHeight="1">
      <c r="A31" s="68"/>
      <c r="B31" s="106" t="s">
        <v>21</v>
      </c>
      <c r="C31" s="107"/>
      <c r="D31" s="108">
        <v>135.0</v>
      </c>
      <c r="E31" s="101">
        <f>if(isblank($B31), "", sumif('Transações'!$E:$E,$B31,'Transações'!$C:$C))</f>
        <v>0</v>
      </c>
      <c r="F31" s="109">
        <f t="shared" si="3"/>
        <v>135</v>
      </c>
      <c r="G31" s="110"/>
      <c r="H31" s="106"/>
      <c r="I31" s="107"/>
      <c r="J31" s="108"/>
      <c r="K31" s="101"/>
      <c r="L31" s="109"/>
      <c r="M31" s="68"/>
    </row>
    <row r="32" ht="18.0" customHeight="1">
      <c r="A32" s="68"/>
      <c r="B32" s="106" t="s">
        <v>22</v>
      </c>
      <c r="C32" s="107"/>
      <c r="D32" s="108">
        <v>400.0</v>
      </c>
      <c r="E32" s="101">
        <f>if(isblank($B32), "", sumif('Transações'!$E:$E,$B32,'Transações'!$C:$C))</f>
        <v>0</v>
      </c>
      <c r="F32" s="109">
        <f t="shared" si="3"/>
        <v>400</v>
      </c>
      <c r="G32" s="110"/>
      <c r="H32" s="106"/>
      <c r="I32" s="107"/>
      <c r="J32" s="108"/>
      <c r="K32" s="101"/>
      <c r="L32" s="109"/>
      <c r="M32" s="68"/>
    </row>
    <row r="33" ht="18.0" customHeight="1">
      <c r="A33" s="68"/>
      <c r="B33" s="106" t="s">
        <v>23</v>
      </c>
      <c r="C33" s="107"/>
      <c r="D33" s="108">
        <v>5500.0</v>
      </c>
      <c r="E33" s="101">
        <f>if(isblank($B33), "", sumif('Transações'!$E:$E,$B33,'Transações'!$C:$C))</f>
        <v>1100</v>
      </c>
      <c r="F33" s="109">
        <f t="shared" si="3"/>
        <v>4400</v>
      </c>
      <c r="G33" s="110"/>
      <c r="H33" s="106"/>
      <c r="I33" s="107"/>
      <c r="J33" s="111"/>
      <c r="K33" s="101"/>
      <c r="L33" s="109"/>
      <c r="M33" s="68"/>
    </row>
    <row r="34" ht="18.0" customHeight="1">
      <c r="A34" s="68"/>
      <c r="B34" s="106" t="s">
        <v>24</v>
      </c>
      <c r="C34" s="107"/>
      <c r="D34" s="108">
        <v>83.0</v>
      </c>
      <c r="E34" s="101">
        <f>if(isblank($B34), "", sumif('Transações'!$E:$E,$B34,'Transações'!$C:$C))</f>
        <v>0</v>
      </c>
      <c r="F34" s="109">
        <f t="shared" si="3"/>
        <v>83</v>
      </c>
      <c r="G34" s="110"/>
      <c r="H34" s="112"/>
      <c r="I34" s="107"/>
      <c r="J34" s="113"/>
      <c r="K34" s="101"/>
      <c r="L34" s="109"/>
      <c r="M34" s="68"/>
    </row>
    <row r="35" ht="18.0" customHeight="1">
      <c r="A35" s="68"/>
      <c r="B35" s="106" t="s">
        <v>25</v>
      </c>
      <c r="C35" s="107"/>
      <c r="D35" s="108">
        <v>600.0</v>
      </c>
      <c r="E35" s="101">
        <f>if(isblank($B35), "", sumif('Transações'!$E:$E,$B35,'Transações'!$C:$C))</f>
        <v>0</v>
      </c>
      <c r="F35" s="109">
        <f t="shared" si="3"/>
        <v>600</v>
      </c>
      <c r="G35" s="110"/>
      <c r="H35" s="112"/>
      <c r="I35" s="107"/>
      <c r="J35" s="113"/>
      <c r="K35" s="101" t="str">
        <f>if(isblank($H35), "", sumif('Transações'!$J:$J,$H35,'Transações'!$H:$H))</f>
        <v/>
      </c>
      <c r="L35" s="109" t="str">
        <f t="shared" ref="L35:L38" si="5">if(isblank($H35), "", K35-J35)</f>
        <v/>
      </c>
      <c r="M35" s="68"/>
    </row>
    <row r="36" ht="18.0" customHeight="1">
      <c r="A36" s="68"/>
      <c r="B36" s="106" t="s">
        <v>26</v>
      </c>
      <c r="C36" s="107"/>
      <c r="D36" s="108">
        <v>1600.0</v>
      </c>
      <c r="E36" s="101">
        <f>if(isblank($B36), "", sumif('Transações'!$E:$E,$B36,'Transações'!$C:$C))</f>
        <v>0</v>
      </c>
      <c r="F36" s="109">
        <f t="shared" si="3"/>
        <v>1600</v>
      </c>
      <c r="G36" s="110"/>
      <c r="H36" s="112"/>
      <c r="I36" s="107"/>
      <c r="J36" s="113"/>
      <c r="K36" s="101" t="str">
        <f>if(isblank($H36), "", sumif('Transações'!$J:$J,$H36,'Transações'!$H:$H))</f>
        <v/>
      </c>
      <c r="L36" s="109" t="str">
        <f t="shared" si="5"/>
        <v/>
      </c>
      <c r="M36" s="68"/>
    </row>
    <row r="37" ht="18.0" customHeight="1">
      <c r="A37" s="68"/>
      <c r="B37" s="106" t="s">
        <v>27</v>
      </c>
      <c r="C37" s="107"/>
      <c r="D37" s="108">
        <v>310.0</v>
      </c>
      <c r="E37" s="101">
        <f>if(isblank($B37), "", sumif('Transações'!$E:$E,$B37,'Transações'!$C:$C))</f>
        <v>0</v>
      </c>
      <c r="F37" s="109">
        <f t="shared" si="3"/>
        <v>310</v>
      </c>
      <c r="G37" s="110"/>
      <c r="H37" s="112"/>
      <c r="I37" s="107"/>
      <c r="J37" s="113"/>
      <c r="K37" s="101" t="str">
        <f>if(isblank($H37), "", sumif('Transações'!$J:$J,$H37,'Transações'!$H:$H))</f>
        <v/>
      </c>
      <c r="L37" s="109" t="str">
        <f t="shared" si="5"/>
        <v/>
      </c>
      <c r="M37" s="68"/>
    </row>
    <row r="38" ht="18.0" customHeight="1">
      <c r="A38" s="68"/>
      <c r="B38" s="106" t="s">
        <v>28</v>
      </c>
      <c r="C38" s="107"/>
      <c r="D38" s="108">
        <f>sum(Assinaturas!B2:B8)</f>
        <v>692</v>
      </c>
      <c r="E38" s="101">
        <f>if(isblank($B38), "", sumif('Transações'!$E:$E,$B38,'Transações'!$C:$C))</f>
        <v>0</v>
      </c>
      <c r="F38" s="109">
        <f t="shared" si="3"/>
        <v>692</v>
      </c>
      <c r="G38" s="110"/>
      <c r="H38" s="112"/>
      <c r="I38" s="107"/>
      <c r="J38" s="113"/>
      <c r="K38" s="101" t="str">
        <f>if(isblank($H38), "", sumif('Transações'!$J:$J,$H38,'Transações'!$H:$H))</f>
        <v/>
      </c>
      <c r="L38" s="109" t="str">
        <f t="shared" si="5"/>
        <v/>
      </c>
      <c r="M38" s="68"/>
    </row>
    <row r="39" ht="18.0" customHeight="1">
      <c r="A39" s="68"/>
      <c r="B39" s="106" t="s">
        <v>29</v>
      </c>
      <c r="C39" s="107"/>
      <c r="D39" s="108">
        <f>SUM(Assinaturas!B11:B15)/12</f>
        <v>132.075</v>
      </c>
      <c r="E39" s="101">
        <f>if(isblank($B39), "", sumif('Transações'!$E:$E,$B39,'Transações'!$C:$C))</f>
        <v>0</v>
      </c>
      <c r="F39" s="109">
        <f t="shared" si="3"/>
        <v>132.075</v>
      </c>
      <c r="G39" s="110"/>
      <c r="H39" s="114"/>
      <c r="I39" s="114"/>
      <c r="J39" s="113"/>
      <c r="K39" s="101"/>
      <c r="L39" s="109"/>
      <c r="M39" s="68"/>
    </row>
    <row r="40" ht="18.0" customHeight="1">
      <c r="A40" s="68"/>
      <c r="B40" s="106" t="s">
        <v>30</v>
      </c>
      <c r="C40" s="107"/>
      <c r="D40" s="108">
        <v>100.0</v>
      </c>
      <c r="E40" s="101">
        <f>if(isblank($B40), "", sumif('Transações'!$E:$E,$B40,'Transações'!$C:$C))</f>
        <v>0</v>
      </c>
      <c r="F40" s="109">
        <f t="shared" si="3"/>
        <v>100</v>
      </c>
      <c r="G40" s="110"/>
      <c r="H40" s="112"/>
      <c r="I40" s="107"/>
      <c r="J40" s="113"/>
      <c r="K40" s="101" t="str">
        <f>if(isblank($H40), "", sumif('Transações'!$J:$J,$H40,'Transações'!$H:$H))</f>
        <v/>
      </c>
      <c r="L40" s="109" t="str">
        <f>if(isblank($H40), "", K40-J40)</f>
        <v/>
      </c>
      <c r="M40" s="68"/>
    </row>
    <row r="41" ht="18.0" customHeight="1">
      <c r="A41" s="68"/>
      <c r="B41" s="106" t="s">
        <v>31</v>
      </c>
      <c r="C41" s="107"/>
      <c r="D41" s="108">
        <v>500.0</v>
      </c>
      <c r="E41" s="101">
        <f>if(isblank($B41), "", sumif('Transações'!$E:$E,$B41,'Transações'!$C:$C))</f>
        <v>0</v>
      </c>
      <c r="F41" s="109">
        <f t="shared" si="3"/>
        <v>500</v>
      </c>
      <c r="G41" s="110"/>
      <c r="H41" s="114"/>
      <c r="I41" s="114"/>
      <c r="J41" s="113"/>
      <c r="K41" s="101"/>
      <c r="L41" s="109"/>
      <c r="M41" s="68"/>
    </row>
    <row r="42" ht="18.0" customHeight="1">
      <c r="A42" s="68"/>
      <c r="B42" s="115"/>
      <c r="C42" s="115"/>
      <c r="D42" s="116"/>
      <c r="E42" s="117"/>
      <c r="F42" s="118"/>
      <c r="G42" s="119"/>
      <c r="H42" s="120"/>
      <c r="I42" s="120"/>
      <c r="J42" s="121"/>
      <c r="K42" s="117"/>
      <c r="L42" s="118"/>
      <c r="M42" s="68"/>
    </row>
    <row r="43" ht="18.0" customHeight="1">
      <c r="A43" s="68"/>
      <c r="B43" s="122"/>
      <c r="C43" s="107"/>
      <c r="D43" s="123"/>
      <c r="E43" s="117" t="str">
        <f>if(isblank($B43), "", sumif('Transações'!$E:$E,$B43,'Transações'!$C:$C))</f>
        <v/>
      </c>
      <c r="F43" s="118" t="str">
        <f>if(isblank($B43), "", D43-E43)</f>
        <v/>
      </c>
      <c r="G43" s="119"/>
      <c r="H43" s="124"/>
      <c r="I43" s="107"/>
      <c r="J43" s="121"/>
      <c r="K43" s="117" t="str">
        <f>if(isblank($H43), "", sumif('Transações'!$J:$J,$H43,'Transações'!$H:$H))</f>
        <v/>
      </c>
      <c r="L43" s="118" t="str">
        <f>if(isblank($H43), "", K43-J43)</f>
        <v/>
      </c>
      <c r="M43" s="68"/>
    </row>
  </sheetData>
  <mergeCells count="53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43:C43"/>
    <mergeCell ref="B37:C37"/>
    <mergeCell ref="B38:C38"/>
    <mergeCell ref="B39:C39"/>
    <mergeCell ref="B36:C36"/>
    <mergeCell ref="B40:C40"/>
    <mergeCell ref="B41:C41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40:I40"/>
    <mergeCell ref="H43:I43"/>
    <mergeCell ref="H30:I30"/>
    <mergeCell ref="H31:I31"/>
    <mergeCell ref="H32:I32"/>
    <mergeCell ref="H33:I33"/>
    <mergeCell ref="H34:I34"/>
    <mergeCell ref="H35:I35"/>
    <mergeCell ref="H36:I36"/>
  </mergeCells>
  <conditionalFormatting sqref="B27:C43 H27:H43">
    <cfRule type="notContainsBlanks" dxfId="0" priority="1">
      <formula>LEN(TRIM(B27))&gt;0</formula>
    </cfRule>
  </conditionalFormatting>
  <conditionalFormatting sqref="D27:D43">
    <cfRule type="expression" dxfId="0" priority="2">
      <formula>not(isblank(B27))</formula>
    </cfRule>
  </conditionalFormatting>
  <conditionalFormatting sqref="J27:J43">
    <cfRule type="expression" dxfId="0" priority="3">
      <formula>not(isblank(H27))</formula>
    </cfRule>
  </conditionalFormatting>
  <conditionalFormatting sqref="F26:F43 L26:L43">
    <cfRule type="cellIs" dxfId="1" priority="4" operator="lessThan">
      <formula>0</formula>
    </cfRule>
  </conditionalFormatting>
  <conditionalFormatting sqref="F27:F43 L27:L43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3.5"/>
    <col customWidth="1" min="6" max="6" width="5.13"/>
    <col customWidth="1" min="9" max="9" width="13.25"/>
    <col customWidth="1" min="10" max="10" width="21.0"/>
    <col customWidth="1" min="11" max="11" width="5.13"/>
  </cols>
  <sheetData>
    <row r="1" ht="33.0" customHeight="1">
      <c r="A1" s="125"/>
      <c r="B1" s="11" t="s">
        <v>32</v>
      </c>
      <c r="K1" s="125"/>
    </row>
    <row r="2" ht="48.0" customHeight="1">
      <c r="A2" s="126"/>
      <c r="B2" s="127" t="s">
        <v>10</v>
      </c>
      <c r="C2" s="126"/>
      <c r="D2" s="126"/>
      <c r="E2" s="126"/>
      <c r="F2" s="126"/>
      <c r="G2" s="127" t="s">
        <v>11</v>
      </c>
      <c r="H2" s="126"/>
      <c r="I2" s="126"/>
      <c r="J2" s="126"/>
      <c r="K2" s="126"/>
    </row>
    <row r="3" ht="12.0" customHeight="1">
      <c r="A3" s="15"/>
      <c r="B3" s="128"/>
      <c r="C3" s="128"/>
      <c r="D3" s="128"/>
      <c r="E3" s="128"/>
      <c r="F3" s="15"/>
      <c r="G3" s="128"/>
      <c r="H3" s="128"/>
      <c r="I3" s="128"/>
      <c r="J3" s="128"/>
      <c r="K3" s="15"/>
    </row>
    <row r="4" ht="24.0" customHeight="1">
      <c r="A4" s="68"/>
      <c r="B4" s="129" t="s">
        <v>33</v>
      </c>
      <c r="C4" s="129" t="s">
        <v>34</v>
      </c>
      <c r="D4" s="129" t="s">
        <v>35</v>
      </c>
      <c r="E4" s="129" t="s">
        <v>36</v>
      </c>
      <c r="F4" s="68"/>
      <c r="G4" s="129" t="s">
        <v>33</v>
      </c>
      <c r="H4" s="129" t="s">
        <v>34</v>
      </c>
      <c r="I4" s="129" t="s">
        <v>35</v>
      </c>
      <c r="J4" s="129" t="s">
        <v>36</v>
      </c>
      <c r="K4" s="68"/>
    </row>
    <row r="5" ht="19.5" customHeight="1">
      <c r="A5" s="68"/>
      <c r="B5" s="130">
        <v>36781.0</v>
      </c>
      <c r="C5" s="131">
        <v>1100.0</v>
      </c>
      <c r="D5" s="132" t="s">
        <v>37</v>
      </c>
      <c r="E5" s="133" t="s">
        <v>23</v>
      </c>
      <c r="F5" s="68"/>
      <c r="G5" s="130">
        <v>36781.0</v>
      </c>
      <c r="H5" s="131">
        <v>12418.0</v>
      </c>
      <c r="I5" s="134" t="s">
        <v>19</v>
      </c>
      <c r="J5" s="133" t="s">
        <v>19</v>
      </c>
      <c r="K5" s="68"/>
    </row>
    <row r="6" ht="19.5" customHeight="1">
      <c r="A6" s="68"/>
      <c r="B6" s="135"/>
      <c r="C6" s="136"/>
      <c r="D6" s="137"/>
      <c r="E6" s="138"/>
      <c r="F6" s="68"/>
      <c r="G6" s="135"/>
      <c r="H6" s="136"/>
      <c r="I6" s="139"/>
      <c r="J6" s="138"/>
      <c r="K6" s="68"/>
    </row>
    <row r="7" ht="19.5" customHeight="1">
      <c r="A7" s="68"/>
      <c r="B7" s="135"/>
      <c r="C7" s="136"/>
      <c r="D7" s="137"/>
      <c r="E7" s="138"/>
      <c r="F7" s="68"/>
      <c r="G7" s="135"/>
      <c r="H7" s="136"/>
      <c r="I7" s="139"/>
      <c r="J7" s="138"/>
      <c r="K7" s="68"/>
    </row>
    <row r="8" ht="19.5" customHeight="1">
      <c r="A8" s="68"/>
      <c r="B8" s="135"/>
      <c r="C8" s="136"/>
      <c r="D8" s="137"/>
      <c r="E8" s="140"/>
      <c r="F8" s="68"/>
      <c r="G8" s="135"/>
      <c r="H8" s="136"/>
      <c r="I8" s="139"/>
      <c r="J8" s="138"/>
      <c r="K8" s="68"/>
    </row>
    <row r="9" ht="19.5" customHeight="1">
      <c r="A9" s="68"/>
      <c r="B9" s="135"/>
      <c r="C9" s="136"/>
      <c r="D9" s="137"/>
      <c r="E9" s="138"/>
      <c r="F9" s="68"/>
      <c r="G9" s="135"/>
      <c r="H9" s="136"/>
      <c r="I9" s="139"/>
      <c r="J9" s="138"/>
      <c r="K9" s="68"/>
    </row>
    <row r="10" ht="19.5" customHeight="1">
      <c r="A10" s="68"/>
      <c r="B10" s="135"/>
      <c r="C10" s="136"/>
      <c r="D10" s="137"/>
      <c r="E10" s="138"/>
      <c r="F10" s="68"/>
      <c r="G10" s="135"/>
      <c r="H10" s="136"/>
      <c r="I10" s="141"/>
      <c r="J10" s="140"/>
      <c r="K10" s="68"/>
    </row>
    <row r="11" ht="19.5" customHeight="1">
      <c r="A11" s="68"/>
      <c r="B11" s="135"/>
      <c r="C11" s="136"/>
      <c r="D11" s="137"/>
      <c r="E11" s="138"/>
      <c r="F11" s="68"/>
      <c r="G11" s="135"/>
      <c r="H11" s="136"/>
      <c r="I11" s="141"/>
      <c r="J11" s="140"/>
      <c r="K11" s="68"/>
    </row>
    <row r="12" ht="19.5" customHeight="1">
      <c r="A12" s="68"/>
      <c r="B12" s="135"/>
      <c r="C12" s="136"/>
      <c r="D12" s="137"/>
      <c r="E12" s="138"/>
      <c r="F12" s="68"/>
      <c r="G12" s="135"/>
      <c r="H12" s="136"/>
      <c r="I12" s="141"/>
      <c r="J12" s="140"/>
      <c r="K12" s="68"/>
    </row>
    <row r="13" ht="19.5" customHeight="1">
      <c r="A13" s="68"/>
      <c r="B13" s="135"/>
      <c r="C13" s="136"/>
      <c r="D13" s="137"/>
      <c r="E13" s="138"/>
      <c r="F13" s="68"/>
      <c r="G13" s="135"/>
      <c r="H13" s="136"/>
      <c r="I13" s="141"/>
      <c r="J13" s="140"/>
      <c r="K13" s="68"/>
    </row>
    <row r="14" ht="19.5" customHeight="1">
      <c r="A14" s="68"/>
      <c r="B14" s="135"/>
      <c r="C14" s="136"/>
      <c r="D14" s="137"/>
      <c r="E14" s="138"/>
      <c r="F14" s="68"/>
      <c r="G14" s="135"/>
      <c r="H14" s="136"/>
      <c r="I14" s="141"/>
      <c r="J14" s="140"/>
      <c r="K14" s="68"/>
    </row>
    <row r="15" ht="19.5" customHeight="1">
      <c r="A15" s="68"/>
      <c r="B15" s="135"/>
      <c r="C15" s="136"/>
      <c r="D15" s="137"/>
      <c r="E15" s="138"/>
      <c r="F15" s="68"/>
      <c r="G15" s="135"/>
      <c r="H15" s="136"/>
      <c r="I15" s="141"/>
      <c r="J15" s="140"/>
      <c r="K15" s="68"/>
    </row>
    <row r="16" ht="19.5" customHeight="1">
      <c r="A16" s="68"/>
      <c r="B16" s="135"/>
      <c r="C16" s="136"/>
      <c r="D16" s="137"/>
      <c r="E16" s="138"/>
      <c r="F16" s="68"/>
      <c r="G16" s="135"/>
      <c r="H16" s="136"/>
      <c r="I16" s="139"/>
      <c r="J16" s="138"/>
      <c r="K16" s="68"/>
    </row>
    <row r="17" ht="19.5" customHeight="1">
      <c r="A17" s="68"/>
      <c r="B17" s="135"/>
      <c r="C17" s="136"/>
      <c r="D17" s="137"/>
      <c r="E17" s="140"/>
      <c r="F17" s="68"/>
      <c r="G17" s="142"/>
      <c r="H17" s="143"/>
      <c r="I17" s="141"/>
      <c r="J17" s="140"/>
      <c r="K17" s="68"/>
    </row>
    <row r="18" ht="19.5" customHeight="1">
      <c r="A18" s="68"/>
      <c r="B18" s="135"/>
      <c r="C18" s="136"/>
      <c r="D18" s="137"/>
      <c r="E18" s="140"/>
      <c r="F18" s="68"/>
      <c r="G18" s="142"/>
      <c r="H18" s="143"/>
      <c r="I18" s="141"/>
      <c r="J18" s="140"/>
      <c r="K18" s="68"/>
    </row>
    <row r="19" ht="19.5" customHeight="1">
      <c r="A19" s="68"/>
      <c r="B19" s="142"/>
      <c r="C19" s="136"/>
      <c r="D19" s="137"/>
      <c r="E19" s="140"/>
      <c r="F19" s="68"/>
      <c r="G19" s="142"/>
      <c r="H19" s="143"/>
      <c r="I19" s="141"/>
      <c r="J19" s="140"/>
      <c r="K19" s="68"/>
    </row>
    <row r="20" ht="19.5" customHeight="1">
      <c r="A20" s="68"/>
      <c r="B20" s="142"/>
      <c r="C20" s="136"/>
      <c r="D20" s="137"/>
      <c r="E20" s="140"/>
      <c r="F20" s="68"/>
      <c r="G20" s="142"/>
      <c r="H20" s="143"/>
      <c r="I20" s="141"/>
      <c r="J20" s="140"/>
      <c r="K20" s="68"/>
    </row>
    <row r="21" ht="19.5" customHeight="1">
      <c r="A21" s="68"/>
      <c r="B21" s="142"/>
      <c r="C21" s="136"/>
      <c r="D21" s="144"/>
      <c r="E21" s="140"/>
      <c r="F21" s="68"/>
      <c r="G21" s="142"/>
      <c r="H21" s="143"/>
      <c r="I21" s="141"/>
      <c r="J21" s="140"/>
      <c r="K21" s="68"/>
    </row>
    <row r="22" ht="19.5" customHeight="1">
      <c r="A22" s="68"/>
      <c r="B22" s="142"/>
      <c r="C22" s="136"/>
      <c r="D22" s="144"/>
      <c r="E22" s="140"/>
      <c r="F22" s="68"/>
      <c r="G22" s="142"/>
      <c r="H22" s="143"/>
      <c r="I22" s="141"/>
      <c r="J22" s="140"/>
      <c r="K22" s="68"/>
    </row>
    <row r="23" ht="19.5" customHeight="1">
      <c r="A23" s="68"/>
      <c r="B23" s="142"/>
      <c r="C23" s="136"/>
      <c r="D23" s="144"/>
      <c r="E23" s="140"/>
      <c r="F23" s="68"/>
      <c r="G23" s="142"/>
      <c r="H23" s="143"/>
      <c r="I23" s="141"/>
      <c r="J23" s="140"/>
      <c r="K23" s="68"/>
    </row>
    <row r="24" ht="19.5" customHeight="1">
      <c r="A24" s="68"/>
      <c r="B24" s="142"/>
      <c r="C24" s="136"/>
      <c r="D24" s="144"/>
      <c r="E24" s="140"/>
      <c r="F24" s="68"/>
      <c r="G24" s="142"/>
      <c r="H24" s="143"/>
      <c r="I24" s="141"/>
      <c r="J24" s="140"/>
      <c r="K24" s="68"/>
    </row>
    <row r="25" ht="19.5" customHeight="1">
      <c r="A25" s="68"/>
      <c r="B25" s="142"/>
      <c r="C25" s="136"/>
      <c r="D25" s="144"/>
      <c r="E25" s="140"/>
      <c r="F25" s="68"/>
      <c r="G25" s="142"/>
      <c r="H25" s="143"/>
      <c r="I25" s="141"/>
      <c r="J25" s="140"/>
      <c r="K25" s="68"/>
    </row>
    <row r="26" ht="19.5" customHeight="1">
      <c r="A26" s="68"/>
      <c r="B26" s="142"/>
      <c r="C26" s="136"/>
      <c r="D26" s="144"/>
      <c r="E26" s="140"/>
      <c r="F26" s="68"/>
      <c r="G26" s="142"/>
      <c r="H26" s="143"/>
      <c r="I26" s="141"/>
      <c r="J26" s="140"/>
      <c r="K26" s="68"/>
    </row>
    <row r="27" ht="19.5" customHeight="1">
      <c r="A27" s="68"/>
      <c r="B27" s="142"/>
      <c r="C27" s="136"/>
      <c r="D27" s="144"/>
      <c r="E27" s="140"/>
      <c r="F27" s="68"/>
      <c r="G27" s="142"/>
      <c r="H27" s="143"/>
      <c r="I27" s="141"/>
      <c r="J27" s="140"/>
      <c r="K27" s="68"/>
    </row>
    <row r="28" ht="19.5" customHeight="1">
      <c r="A28" s="68"/>
      <c r="B28" s="142"/>
      <c r="C28" s="136"/>
      <c r="D28" s="144"/>
      <c r="E28" s="140"/>
      <c r="F28" s="68"/>
      <c r="G28" s="142"/>
      <c r="H28" s="143"/>
      <c r="I28" s="141"/>
      <c r="J28" s="140"/>
      <c r="K28" s="68"/>
    </row>
    <row r="29" ht="19.5" customHeight="1">
      <c r="A29" s="68"/>
      <c r="B29" s="142"/>
      <c r="C29" s="136"/>
      <c r="D29" s="144"/>
      <c r="E29" s="140"/>
      <c r="F29" s="68"/>
      <c r="G29" s="142"/>
      <c r="H29" s="143"/>
      <c r="I29" s="141"/>
      <c r="J29" s="140"/>
      <c r="K29" s="68"/>
    </row>
    <row r="30" ht="19.5" customHeight="1">
      <c r="A30" s="68"/>
      <c r="B30" s="142"/>
      <c r="C30" s="136"/>
      <c r="D30" s="144"/>
      <c r="E30" s="140"/>
      <c r="F30" s="68"/>
      <c r="G30" s="142"/>
      <c r="H30" s="143"/>
      <c r="I30" s="141"/>
      <c r="J30" s="140"/>
      <c r="K30" s="68"/>
    </row>
    <row r="31" ht="19.5" customHeight="1">
      <c r="A31" s="68"/>
      <c r="B31" s="142"/>
      <c r="C31" s="136"/>
      <c r="D31" s="144"/>
      <c r="E31" s="140"/>
      <c r="F31" s="68"/>
      <c r="G31" s="142"/>
      <c r="H31" s="143"/>
      <c r="I31" s="141"/>
      <c r="J31" s="140"/>
      <c r="K31" s="68"/>
    </row>
    <row r="32" ht="19.5" customHeight="1">
      <c r="A32" s="68"/>
      <c r="B32" s="142"/>
      <c r="C32" s="136"/>
      <c r="D32" s="144"/>
      <c r="E32" s="140"/>
      <c r="F32" s="68"/>
      <c r="G32" s="142"/>
      <c r="H32" s="143"/>
      <c r="I32" s="141"/>
      <c r="J32" s="140"/>
      <c r="K32" s="68"/>
    </row>
    <row r="33" ht="19.5" customHeight="1">
      <c r="A33" s="68"/>
      <c r="B33" s="145"/>
      <c r="C33" s="146"/>
      <c r="D33" s="147"/>
      <c r="E33" s="148"/>
      <c r="F33" s="68"/>
      <c r="G33" s="145"/>
      <c r="H33" s="149"/>
      <c r="I33" s="150"/>
      <c r="J33" s="148"/>
      <c r="K33" s="68"/>
    </row>
  </sheetData>
  <mergeCells count="1">
    <mergeCell ref="B1:J1"/>
  </mergeCells>
  <dataValidations>
    <dataValidation type="list" allowBlank="1" sqref="J5:J33">
      <formula1>Resumo!$H$27:$I$43</formula1>
    </dataValidation>
    <dataValidation type="list" allowBlank="1" sqref="E5:E33">
      <formula1>Resumo!$B$27:$C$43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1" t="s">
        <v>38</v>
      </c>
    </row>
    <row r="2">
      <c r="A2" s="151" t="s">
        <v>39</v>
      </c>
      <c r="B2" s="151">
        <v>100.0</v>
      </c>
    </row>
    <row r="3">
      <c r="A3" s="151" t="s">
        <v>40</v>
      </c>
      <c r="B3" s="151">
        <v>45.0</v>
      </c>
    </row>
    <row r="4">
      <c r="A4" s="151" t="s">
        <v>41</v>
      </c>
      <c r="B4" s="151">
        <v>120.0</v>
      </c>
    </row>
    <row r="5">
      <c r="A5" s="151" t="s">
        <v>42</v>
      </c>
      <c r="B5" s="151">
        <v>54.0</v>
      </c>
    </row>
    <row r="6">
      <c r="A6" s="151" t="s">
        <v>43</v>
      </c>
      <c r="B6" s="151">
        <v>300.0</v>
      </c>
    </row>
    <row r="7">
      <c r="A7" s="151" t="s">
        <v>44</v>
      </c>
      <c r="B7" s="151">
        <v>15.0</v>
      </c>
    </row>
    <row r="8">
      <c r="A8" s="151" t="s">
        <v>45</v>
      </c>
      <c r="B8" s="151">
        <v>58.0</v>
      </c>
    </row>
    <row r="10">
      <c r="A10" s="151" t="s">
        <v>46</v>
      </c>
    </row>
    <row r="11">
      <c r="A11" s="151" t="s">
        <v>47</v>
      </c>
      <c r="B11" s="151">
        <v>64.9</v>
      </c>
    </row>
    <row r="12">
      <c r="A12" s="151" t="s">
        <v>48</v>
      </c>
      <c r="B12" s="151">
        <v>100.0</v>
      </c>
    </row>
    <row r="13">
      <c r="A13" s="151" t="s">
        <v>49</v>
      </c>
      <c r="B13" s="151">
        <v>120.0</v>
      </c>
    </row>
    <row r="14">
      <c r="A14" s="151" t="s">
        <v>50</v>
      </c>
      <c r="B14" s="151">
        <v>300.0</v>
      </c>
    </row>
    <row r="15">
      <c r="A15" s="151" t="s">
        <v>51</v>
      </c>
      <c r="B15" s="151">
        <v>1000.0</v>
      </c>
    </row>
  </sheetData>
  <drawing r:id="rId1"/>
</worksheet>
</file>