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Categorias" sheetId="3" state="visible" r:id="rId3"/>
    <sheet xmlns:r="http://schemas.openxmlformats.org/officeDocument/2006/relationships" name="Orcamento" sheetId="4" state="visible" r:id="rId4"/>
    <sheet xmlns:r="http://schemas.openxmlformats.org/officeDocument/2006/relationships" name="Assinaturas" sheetId="5" state="visible" r:id="rId5"/>
    <sheet xmlns:r="http://schemas.openxmlformats.org/officeDocument/2006/relationships" name="Parcelados" sheetId="6" state="visible" r:id="rId6"/>
    <sheet xmlns:r="http://schemas.openxmlformats.org/officeDocument/2006/relationships" name="Transacoe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categories" displayName="tbl_categories" ref="A1:E2" headerRowCount="1">
  <autoFilter ref="A1:E2"/>
  <tableColumns count="5">
    <tableColumn id="1" name="category_id"/>
    <tableColumn id="2" name="nature"/>
    <tableColumn id="3" name="category_name"/>
    <tableColumn id="4" name="active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udget" displayName="tbl_budget" ref="A1:E2" headerRowCount="1">
  <autoFilter ref="A1:E2"/>
  <tableColumns count="5">
    <tableColumn id="1" name="month"/>
    <tableColumn id="2" name="nature"/>
    <tableColumn id="3" name="category_name"/>
    <tableColumn id="4" name="planned_amount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ubscriptions" displayName="tbl_subscriptions" ref="A1:I2" headerRowCount="1">
  <autoFilter ref="A1:I2"/>
  <tableColumns count="9">
    <tableColumn id="1" name="subscription_id"/>
    <tableColumn id="2" name="name"/>
    <tableColumn id="3" name="amount"/>
    <tableColumn id="4" name="frequency"/>
    <tableColumn id="5" name="start_date"/>
    <tableColumn id="6" name="day_of_month"/>
    <tableColumn id="7" name="category_name"/>
    <tableColumn id="8" name="active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nstallments" displayName="tbl_installments" ref="A1:J2" headerRowCount="1">
  <autoFilter ref="A1:J2"/>
  <tableColumns count="10">
    <tableColumn id="1" name="installment_id"/>
    <tableColumn id="2" name="description"/>
    <tableColumn id="3" name="total_installments"/>
    <tableColumn id="4" name="total_amount"/>
    <tableColumn id="5" name="purchase_date"/>
    <tableColumn id="6" name="first_due_date"/>
    <tableColumn id="7" name="category_name"/>
    <tableColumn id="8" name="store"/>
    <tableColumn id="9" name="active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transactions" displayName="tbl_transactions" ref="A1:J2" headerRowCount="1">
  <autoFilter ref="A1:J2"/>
  <tableColumns count="10">
    <tableColumn id="1" name="transaction_id"/>
    <tableColumn id="2" name="date"/>
    <tableColumn id="3" name="nature"/>
    <tableColumn id="4" name="entry_type"/>
    <tableColumn id="5" name="category_name"/>
    <tableColumn id="6" name="description"/>
    <tableColumn id="7" name="amount"/>
    <tableColumn id="8" name="reference_id"/>
    <tableColumn id="9" name="account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Planilha de Controle Financeiro (Estrutura Robusta)</t>
        </is>
      </c>
    </row>
    <row r="2">
      <c r="A2" t="inlineStr">
        <is>
          <t>Fluxo recomendado: 1) configure Categorias/Assinaturas/Orcamento, 2) lance em Transacoes, 3) veja Dashboard.</t>
        </is>
      </c>
    </row>
    <row r="3">
      <c r="A3" t="inlineStr">
        <is>
          <t>Use IDs estáveis (ex.: SUB-001, PAR-001) para rastrear lançamentos automáticos e parcelas.</t>
        </is>
      </c>
    </row>
    <row r="4">
      <c r="A4" t="inlineStr">
        <is>
          <t>Não apague colunas. Pode adicionar novas linhas nas tabelas (elas se expandem automaticamente).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entry_type</t>
        </is>
      </c>
      <c r="C1" t="inlineStr">
        <is>
          <t>frequency</t>
        </is>
      </c>
      <c r="D1" t="inlineStr">
        <is>
          <t>yes_no</t>
        </is>
      </c>
    </row>
    <row r="2">
      <c r="A2" t="inlineStr">
        <is>
          <t>expense</t>
        </is>
      </c>
      <c r="B2" t="inlineStr">
        <is>
          <t>one_off</t>
        </is>
      </c>
      <c r="C2" t="inlineStr">
        <is>
          <t>monthly</t>
        </is>
      </c>
      <c r="D2" t="inlineStr">
        <is>
          <t>yes</t>
        </is>
      </c>
    </row>
    <row r="3">
      <c r="A3" t="inlineStr">
        <is>
          <t>income</t>
        </is>
      </c>
      <c r="B3" t="inlineStr">
        <is>
          <t>subscription</t>
        </is>
      </c>
      <c r="C3" t="inlineStr">
        <is>
          <t>yearly</t>
        </is>
      </c>
      <c r="D3" t="inlineStr">
        <is>
          <t>no</t>
        </is>
      </c>
    </row>
    <row r="4">
      <c r="A4" t="inlineStr"/>
      <c r="B4" t="inlineStr">
        <is>
          <t>installment</t>
        </is>
      </c>
      <c r="C4" t="inlineStr"/>
      <c r="D4" t="inlineStr"/>
    </row>
    <row r="5">
      <c r="A5" t="inlineStr"/>
      <c r="B5" t="inlineStr"/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0" customWidth="1" min="4" max="4"/>
    <col width="36" customWidth="1" min="5" max="5"/>
  </cols>
  <sheetData>
    <row r="1">
      <c r="A1" s="2" t="inlineStr">
        <is>
          <t>category_id</t>
        </is>
      </c>
      <c r="B1" s="2" t="inlineStr">
        <is>
          <t>nature</t>
        </is>
      </c>
      <c r="C1" s="2" t="inlineStr">
        <is>
          <t>category_name</t>
        </is>
      </c>
      <c r="D1" s="2" t="inlineStr">
        <is>
          <t>active</t>
        </is>
      </c>
      <c r="E1" s="2" t="inlineStr">
        <is>
          <t>notes</t>
        </is>
      </c>
    </row>
    <row r="2">
      <c r="A2" t="inlineStr">
        <is>
          <t>CAT-001</t>
        </is>
      </c>
      <c r="B2" t="inlineStr">
        <is>
          <t>expense</t>
        </is>
      </c>
      <c r="C2" t="inlineStr"/>
      <c r="D2" t="inlineStr">
        <is>
          <t>yes</t>
        </is>
      </c>
      <c r="E2" t="inlineStr"/>
    </row>
  </sheetData>
  <dataValidations count="2">
    <dataValidation sqref="B2:B2000" showDropDown="0" showInputMessage="0" showErrorMessage="0" allowBlank="1" type="list">
      <formula1>=Listas!$A$2:$A$3</formula1>
    </dataValidation>
    <dataValidation sqref="D2:D2000" showDropDown="0" showInputMessage="0" showErrorMessage="0" allowBlank="1" type="list">
      <formula1>=Listas!$D$2:$D$3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38" customWidth="1" min="5" max="5"/>
  </cols>
  <sheetData>
    <row r="1">
      <c r="A1" s="2" t="inlineStr">
        <is>
          <t>month</t>
        </is>
      </c>
      <c r="B1" s="2" t="inlineStr">
        <is>
          <t>nature</t>
        </is>
      </c>
      <c r="C1" s="2" t="inlineStr">
        <is>
          <t>category_name</t>
        </is>
      </c>
      <c r="D1" s="2" t="inlineStr">
        <is>
          <t>planned_amount</t>
        </is>
      </c>
      <c r="E1" s="2" t="inlineStr">
        <is>
          <t>notes</t>
        </is>
      </c>
    </row>
    <row r="2">
      <c r="A2" s="3" t="n">
        <v>46054</v>
      </c>
      <c r="B2" t="inlineStr">
        <is>
          <t>expense</t>
        </is>
      </c>
      <c r="C2" t="inlineStr"/>
      <c r="D2" s="4" t="n">
        <v>0</v>
      </c>
      <c r="E2" t="inlineStr"/>
    </row>
  </sheetData>
  <dataValidations count="1">
    <dataValidation sqref="B2:B2000" showDropDown="0" showInputMessage="0" showErrorMessage="0" allowBlank="1" type="list">
      <formula1>=Listas!$A$2:$A$3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0" customWidth="1" min="8" max="8"/>
    <col width="36" customWidth="1" min="9" max="9"/>
  </cols>
  <sheetData>
    <row r="1">
      <c r="A1" s="2" t="inlineStr">
        <is>
          <t>subscription_id</t>
        </is>
      </c>
      <c r="B1" s="2" t="inlineStr">
        <is>
          <t>name</t>
        </is>
      </c>
      <c r="C1" s="2" t="inlineStr">
        <is>
          <t>amount</t>
        </is>
      </c>
      <c r="D1" s="2" t="inlineStr">
        <is>
          <t>frequency</t>
        </is>
      </c>
      <c r="E1" s="2" t="inlineStr">
        <is>
          <t>start_date</t>
        </is>
      </c>
      <c r="F1" s="2" t="inlineStr">
        <is>
          <t>day_of_month</t>
        </is>
      </c>
      <c r="G1" s="2" t="inlineStr">
        <is>
          <t>category_name</t>
        </is>
      </c>
      <c r="H1" s="2" t="inlineStr">
        <is>
          <t>active</t>
        </is>
      </c>
      <c r="I1" s="2" t="inlineStr">
        <is>
          <t>notes</t>
        </is>
      </c>
    </row>
    <row r="2">
      <c r="A2" t="inlineStr">
        <is>
          <t>SUB-001</t>
        </is>
      </c>
      <c r="B2" t="inlineStr"/>
      <c r="C2" s="4" t="n">
        <v>0</v>
      </c>
      <c r="D2" t="inlineStr">
        <is>
          <t>monthly</t>
        </is>
      </c>
      <c r="E2" s="5" t="n">
        <v>46075</v>
      </c>
      <c r="F2" t="n">
        <v>1</v>
      </c>
      <c r="G2" t="inlineStr">
        <is>
          <t>Assinaturas</t>
        </is>
      </c>
      <c r="H2" t="inlineStr">
        <is>
          <t>yes</t>
        </is>
      </c>
      <c r="I2" t="inlineStr"/>
    </row>
  </sheetData>
  <dataValidations count="2">
    <dataValidation sqref="D2:D2000" showDropDown="0" showInputMessage="0" showErrorMessage="0" allowBlank="1" type="list">
      <formula1>=Listas!$C$2:$C$3</formula1>
    </dataValidation>
    <dataValidation sqref="H2:H2000" showDropDown="0" showInputMessage="0" showErrorMessage="0" allowBlank="1" type="list">
      <formula1>=Listas!$D$2:$D$3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  <col width="12" customWidth="1" min="5" max="5"/>
    <col width="14" customWidth="1" min="6" max="6"/>
    <col width="20" customWidth="1" min="7" max="7"/>
    <col width="20" customWidth="1" min="8" max="8"/>
    <col width="10" customWidth="1" min="9" max="9"/>
    <col width="34" customWidth="1" min="10" max="10"/>
  </cols>
  <sheetData>
    <row r="1">
      <c r="A1" s="2" t="inlineStr">
        <is>
          <t>installment_id</t>
        </is>
      </c>
      <c r="B1" s="2" t="inlineStr">
        <is>
          <t>description</t>
        </is>
      </c>
      <c r="C1" s="2" t="inlineStr">
        <is>
          <t>total_installments</t>
        </is>
      </c>
      <c r="D1" s="2" t="inlineStr">
        <is>
          <t>total_amount</t>
        </is>
      </c>
      <c r="E1" s="2" t="inlineStr">
        <is>
          <t>purchase_date</t>
        </is>
      </c>
      <c r="F1" s="2" t="inlineStr">
        <is>
          <t>first_due_date</t>
        </is>
      </c>
      <c r="G1" s="2" t="inlineStr">
        <is>
          <t>category_name</t>
        </is>
      </c>
      <c r="H1" s="2" t="inlineStr">
        <is>
          <t>store</t>
        </is>
      </c>
      <c r="I1" s="2" t="inlineStr">
        <is>
          <t>active</t>
        </is>
      </c>
      <c r="J1" s="2" t="inlineStr">
        <is>
          <t>notes</t>
        </is>
      </c>
    </row>
    <row r="2">
      <c r="A2" t="inlineStr">
        <is>
          <t>PAR-001</t>
        </is>
      </c>
      <c r="B2" t="inlineStr"/>
      <c r="C2" t="n">
        <v>12</v>
      </c>
      <c r="D2" s="4" t="n">
        <v>0</v>
      </c>
      <c r="E2" s="5" t="n">
        <v>46075</v>
      </c>
      <c r="F2" s="5" t="n">
        <v>46075</v>
      </c>
      <c r="G2" t="inlineStr"/>
      <c r="H2" t="inlineStr"/>
      <c r="I2" t="inlineStr">
        <is>
          <t>yes</t>
        </is>
      </c>
      <c r="J2" t="inlineStr"/>
    </row>
  </sheetData>
  <dataValidations count="1">
    <dataValidation sqref="I2:I2000" showDropDown="0" showInputMessage="0" showErrorMessage="0" allowBlank="1" type="list">
      <formula1>=Listas!$D$2:$D$3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4" customWidth="1" min="5" max="5"/>
    <col width="36" customWidth="1" min="6" max="6"/>
    <col width="12" customWidth="1" min="7" max="7"/>
    <col width="16" customWidth="1" min="8" max="8"/>
    <col width="16" customWidth="1" min="9" max="9"/>
    <col width="36" customWidth="1" min="10" max="10"/>
  </cols>
  <sheetData>
    <row r="1">
      <c r="A1" s="2" t="inlineStr">
        <is>
          <t>transaction_id</t>
        </is>
      </c>
      <c r="B1" s="2" t="inlineStr">
        <is>
          <t>date</t>
        </is>
      </c>
      <c r="C1" s="2" t="inlineStr">
        <is>
          <t>nature</t>
        </is>
      </c>
      <c r="D1" s="2" t="inlineStr">
        <is>
          <t>entry_type</t>
        </is>
      </c>
      <c r="E1" s="2" t="inlineStr">
        <is>
          <t>category_name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reference_id</t>
        </is>
      </c>
      <c r="I1" s="2" t="inlineStr">
        <is>
          <t>account</t>
        </is>
      </c>
      <c r="J1" s="2" t="inlineStr">
        <is>
          <t>notes</t>
        </is>
      </c>
    </row>
    <row r="2">
      <c r="A2" t="inlineStr">
        <is>
          <t>TX-0001</t>
        </is>
      </c>
      <c r="B2" s="5" t="n">
        <v>46075</v>
      </c>
      <c r="C2" t="inlineStr">
        <is>
          <t>expense</t>
        </is>
      </c>
      <c r="D2" t="inlineStr">
        <is>
          <t>one_off</t>
        </is>
      </c>
      <c r="E2" t="inlineStr"/>
      <c r="F2" t="inlineStr"/>
      <c r="G2" s="4" t="n">
        <v>0</v>
      </c>
      <c r="H2" t="inlineStr"/>
      <c r="I2" t="inlineStr"/>
      <c r="J2" t="inlineStr"/>
    </row>
  </sheetData>
  <dataValidations count="2">
    <dataValidation sqref="C2:C2000" showDropDown="0" showInputMessage="0" showErrorMessage="0" allowBlank="1" type="list">
      <formula1>=Listas!$A$2:$A$3</formula1>
    </dataValidation>
    <dataValidation sqref="D2:D2000" showDropDown="0" showInputMessage="0" showErrorMessage="0" allowBlank="1" type="list">
      <formula1>=Listas!$B$2:$B$4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6" t="inlineStr">
        <is>
          <t>Mês de referência (primeiro dia do mês)</t>
        </is>
      </c>
      <c r="B1" s="5" t="n">
        <v>46054</v>
      </c>
    </row>
    <row r="3">
      <c r="A3" t="inlineStr">
        <is>
          <t>Receita do mês</t>
        </is>
      </c>
      <c r="B3" s="4">
        <f>SUMIFS(tbl_transactions[amount],tbl_transactions[nature],"income",tbl_transactions[date],"&gt;="&amp;$B$1,tbl_transactions[date],"&lt;="&amp;EOMONTH($B$1,0))</f>
        <v/>
      </c>
    </row>
    <row r="4">
      <c r="A4" t="inlineStr">
        <is>
          <t>Despesa do mês</t>
        </is>
      </c>
      <c r="B4" s="4">
        <f>SUMIFS(tbl_transactions[amount],tbl_transactions[nature],"expense",tbl_transactions[date],"&gt;="&amp;$B$1,tbl_transactions[date],"&lt;="&amp;EOMONTH($B$1,0))</f>
        <v/>
      </c>
    </row>
    <row r="5">
      <c r="A5" t="inlineStr">
        <is>
          <t>Saldo do mês</t>
        </is>
      </c>
      <c r="B5" s="4">
        <f>B3-B4</f>
        <v/>
      </c>
    </row>
    <row r="6">
      <c r="A6" t="inlineStr">
        <is>
          <t>Taxa de economia</t>
        </is>
      </c>
      <c r="B6" s="7">
        <f>IFERROR(B5/B3,0)</f>
        <v/>
      </c>
    </row>
    <row r="8">
      <c r="A8" t="inlineStr">
        <is>
          <t>Orçamento de Despesas</t>
        </is>
      </c>
      <c r="B8" s="4">
        <f>SUMIFS(tbl_budget[planned_amount],tbl_budget[nature],"expense",tbl_budget[month],$B$1)</f>
        <v/>
      </c>
    </row>
    <row r="9">
      <c r="A9" t="inlineStr">
        <is>
          <t>Orçamento de Receitas</t>
        </is>
      </c>
      <c r="B9" s="4">
        <f>SUMIFS(tbl_budget[planned_amount],tbl_budget[nature],"income",tbl_budget[month],$B$1)</f>
        <v/>
      </c>
    </row>
    <row r="10">
      <c r="A10" t="inlineStr">
        <is>
          <t>Diferença despesa real vs orçamento</t>
        </is>
      </c>
      <c r="B10" s="4">
        <f>B8-B4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2026-02-22T18:02:55Z</dcterms:created>
  <dcterms:modified xmlns:dcterms="http://purl.org/dc/terms/" xmlns:xsi="http://www.w3.org/2001/XMLSchema-instance" xsi:type="dcterms:W3CDTF">2026-02-22T18:02:55Z</dcterms:modified>
</cp:coreProperties>
</file>