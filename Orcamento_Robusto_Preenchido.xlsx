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Categorias" sheetId="3" state="visible" r:id="rId3"/>
    <sheet xmlns:r="http://schemas.openxmlformats.org/officeDocument/2006/relationships" name="Orcamento" sheetId="4" state="visible" r:id="rId4"/>
    <sheet xmlns:r="http://schemas.openxmlformats.org/officeDocument/2006/relationships" name="Assinaturas" sheetId="5" state="visible" r:id="rId5"/>
    <sheet xmlns:r="http://schemas.openxmlformats.org/officeDocument/2006/relationships" name="Parcelados" sheetId="6" state="visible" r:id="rId6"/>
    <sheet xmlns:r="http://schemas.openxmlformats.org/officeDocument/2006/relationships" name="Transacoes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categories" displayName="tbl_categories" ref="A1:E17" headerRowCount="1">
  <autoFilter ref="A1:E17"/>
  <tableColumns count="5">
    <tableColumn id="1" name="category_id"/>
    <tableColumn id="2" name="nature"/>
    <tableColumn id="3" name="category_name"/>
    <tableColumn id="4" name="active"/>
    <tableColumn id="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udget" displayName="tbl_budget" ref="A1:E17" headerRowCount="1">
  <autoFilter ref="A1:E17"/>
  <tableColumns count="5">
    <tableColumn id="1" name="month"/>
    <tableColumn id="2" name="nature"/>
    <tableColumn id="3" name="category_name"/>
    <tableColumn id="4" name="planned_amount"/>
    <tableColumn id="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subscriptions" displayName="tbl_subscriptions" ref="A1:I13" headerRowCount="1">
  <autoFilter ref="A1:I13"/>
  <tableColumns count="9">
    <tableColumn id="1" name="subscription_id"/>
    <tableColumn id="2" name="name"/>
    <tableColumn id="3" name="amount"/>
    <tableColumn id="4" name="frequency"/>
    <tableColumn id="5" name="start_date"/>
    <tableColumn id="6" name="day_of_month"/>
    <tableColumn id="7" name="category_name"/>
    <tableColumn id="8" name="active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installments" displayName="tbl_installments" ref="A1:J2" headerRowCount="1">
  <autoFilter ref="A1:J2"/>
  <tableColumns count="10">
    <tableColumn id="1" name="installment_id"/>
    <tableColumn id="2" name="description"/>
    <tableColumn id="3" name="total_installments"/>
    <tableColumn id="4" name="total_amount"/>
    <tableColumn id="5" name="purchase_date"/>
    <tableColumn id="6" name="first_due_date"/>
    <tableColumn id="7" name="category_name"/>
    <tableColumn id="8" name="store"/>
    <tableColumn id="9" name="active"/>
    <tableColumn id="10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transactions" displayName="tbl_transactions" ref="A1:J3" headerRowCount="1">
  <autoFilter ref="A1:J3"/>
  <tableColumns count="10">
    <tableColumn id="1" name="transaction_id"/>
    <tableColumn id="2" name="date"/>
    <tableColumn id="3" name="nature"/>
    <tableColumn id="4" name="entry_type"/>
    <tableColumn id="5" name="category_name"/>
    <tableColumn id="6" name="description"/>
    <tableColumn id="7" name="amount"/>
    <tableColumn id="8" name="reference_id"/>
    <tableColumn id="9" name="account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Planilha de Controle Financeiro (Estrutura Robusta)</t>
        </is>
      </c>
    </row>
    <row r="2">
      <c r="A2" t="inlineStr">
        <is>
          <t>Fluxo recomendado: 1) configure Categorias/Assinaturas/Orcamento, 2) lance em Transacoes, 3) veja Dashboard.</t>
        </is>
      </c>
    </row>
    <row r="3">
      <c r="A3" t="inlineStr">
        <is>
          <t>Use IDs estáveis (ex.: SUB-001, PAR-001) para rastrear lançamentos automáticos e parcelas.</t>
        </is>
      </c>
    </row>
    <row r="4">
      <c r="A4" t="inlineStr">
        <is>
          <t>Não apague colunas. Pode adicionar novas linhas nas tabelas (elas se expandem automaticamente).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</t>
        </is>
      </c>
      <c r="B1" t="inlineStr">
        <is>
          <t>entry_type</t>
        </is>
      </c>
      <c r="C1" t="inlineStr">
        <is>
          <t>frequency</t>
        </is>
      </c>
      <c r="D1" t="inlineStr">
        <is>
          <t>yes_no</t>
        </is>
      </c>
    </row>
    <row r="2">
      <c r="A2" t="inlineStr">
        <is>
          <t>expense</t>
        </is>
      </c>
      <c r="B2" t="inlineStr">
        <is>
          <t>one_off</t>
        </is>
      </c>
      <c r="C2" t="inlineStr">
        <is>
          <t>monthly</t>
        </is>
      </c>
      <c r="D2" t="inlineStr">
        <is>
          <t>yes</t>
        </is>
      </c>
    </row>
    <row r="3">
      <c r="A3" t="inlineStr">
        <is>
          <t>income</t>
        </is>
      </c>
      <c r="B3" t="inlineStr">
        <is>
          <t>subscription</t>
        </is>
      </c>
      <c r="C3" t="inlineStr">
        <is>
          <t>yearly</t>
        </is>
      </c>
      <c r="D3" t="inlineStr">
        <is>
          <t>no</t>
        </is>
      </c>
    </row>
    <row r="4">
      <c r="A4" t="inlineStr"/>
      <c r="B4" t="inlineStr">
        <is>
          <t>installment</t>
        </is>
      </c>
      <c r="C4" t="inlineStr"/>
      <c r="D4" t="inlineStr"/>
    </row>
    <row r="5">
      <c r="A5" t="inlineStr"/>
      <c r="B5" t="inlineStr"/>
      <c r="C5" t="inlineStr"/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0" customWidth="1" min="4" max="4"/>
    <col width="36" customWidth="1" min="5" max="5"/>
  </cols>
  <sheetData>
    <row r="1">
      <c r="A1" s="2" t="inlineStr">
        <is>
          <t>category_id</t>
        </is>
      </c>
      <c r="B1" s="2" t="inlineStr">
        <is>
          <t>nature</t>
        </is>
      </c>
      <c r="C1" s="2" t="inlineStr">
        <is>
          <t>category_name</t>
        </is>
      </c>
      <c r="D1" s="2" t="inlineStr">
        <is>
          <t>active</t>
        </is>
      </c>
      <c r="E1" s="2" t="inlineStr">
        <is>
          <t>notes</t>
        </is>
      </c>
    </row>
    <row r="2">
      <c r="A2" t="inlineStr">
        <is>
          <t>CAT-001</t>
        </is>
      </c>
      <c r="B2" t="inlineStr">
        <is>
          <t>expense</t>
        </is>
      </c>
      <c r="C2" t="inlineStr">
        <is>
          <t>Alimentação</t>
        </is>
      </c>
      <c r="D2" t="inlineStr">
        <is>
          <t>yes</t>
        </is>
      </c>
      <c r="E2" t="inlineStr">
        <is>
          <t>Importado</t>
        </is>
      </c>
    </row>
    <row r="3">
      <c r="A3" t="inlineStr">
        <is>
          <t>CAT-002</t>
        </is>
      </c>
      <c r="B3" t="inlineStr">
        <is>
          <t>expense</t>
        </is>
      </c>
      <c r="C3" t="inlineStr">
        <is>
          <t>Água</t>
        </is>
      </c>
      <c r="D3" t="inlineStr">
        <is>
          <t>yes</t>
        </is>
      </c>
      <c r="E3" t="inlineStr">
        <is>
          <t>Importado</t>
        </is>
      </c>
    </row>
    <row r="4">
      <c r="A4" t="inlineStr">
        <is>
          <t>CAT-003</t>
        </is>
      </c>
      <c r="B4" t="inlineStr">
        <is>
          <t>expense</t>
        </is>
      </c>
      <c r="C4" t="inlineStr">
        <is>
          <t>Luz</t>
        </is>
      </c>
      <c r="D4" t="inlineStr">
        <is>
          <t>yes</t>
        </is>
      </c>
      <c r="E4" t="inlineStr">
        <is>
          <t>Importado</t>
        </is>
      </c>
    </row>
    <row r="5">
      <c r="A5" t="inlineStr">
        <is>
          <t>CAT-004</t>
        </is>
      </c>
      <c r="B5" t="inlineStr">
        <is>
          <t>expense</t>
        </is>
      </c>
      <c r="C5" t="inlineStr">
        <is>
          <t>Internet</t>
        </is>
      </c>
      <c r="D5" t="inlineStr">
        <is>
          <t>yes</t>
        </is>
      </c>
      <c r="E5" t="inlineStr">
        <is>
          <t>Importado</t>
        </is>
      </c>
    </row>
    <row r="6">
      <c r="A6" t="inlineStr">
        <is>
          <t>CAT-005</t>
        </is>
      </c>
      <c r="B6" t="inlineStr">
        <is>
          <t>expense</t>
        </is>
      </c>
      <c r="C6" t="inlineStr">
        <is>
          <t>Transporte</t>
        </is>
      </c>
      <c r="D6" t="inlineStr">
        <is>
          <t>yes</t>
        </is>
      </c>
      <c r="E6" t="inlineStr">
        <is>
          <t>Importado</t>
        </is>
      </c>
    </row>
    <row r="7">
      <c r="A7" t="inlineStr">
        <is>
          <t>CAT-006</t>
        </is>
      </c>
      <c r="B7" t="inlineStr">
        <is>
          <t>expense</t>
        </is>
      </c>
      <c r="C7" t="inlineStr">
        <is>
          <t>Moradia</t>
        </is>
      </c>
      <c r="D7" t="inlineStr">
        <is>
          <t>yes</t>
        </is>
      </c>
      <c r="E7" t="inlineStr">
        <is>
          <t>Importado</t>
        </is>
      </c>
    </row>
    <row r="8">
      <c r="A8" t="inlineStr">
        <is>
          <t>CAT-007</t>
        </is>
      </c>
      <c r="B8" t="inlineStr">
        <is>
          <t>expense</t>
        </is>
      </c>
      <c r="C8" t="inlineStr">
        <is>
          <t>Celular</t>
        </is>
      </c>
      <c r="D8" t="inlineStr">
        <is>
          <t>yes</t>
        </is>
      </c>
      <c r="E8" t="inlineStr">
        <is>
          <t>Importado</t>
        </is>
      </c>
    </row>
    <row r="9">
      <c r="A9" t="inlineStr">
        <is>
          <t>CAT-008</t>
        </is>
      </c>
      <c r="B9" t="inlineStr">
        <is>
          <t>expense</t>
        </is>
      </c>
      <c r="C9" t="inlineStr">
        <is>
          <t>Animais de estimação</t>
        </is>
      </c>
      <c r="D9" t="inlineStr">
        <is>
          <t>yes</t>
        </is>
      </c>
      <c r="E9" t="inlineStr">
        <is>
          <t>Importado</t>
        </is>
      </c>
    </row>
    <row r="10">
      <c r="A10" t="inlineStr">
        <is>
          <t>CAT-009</t>
        </is>
      </c>
      <c r="B10" t="inlineStr">
        <is>
          <t>expense</t>
        </is>
      </c>
      <c r="C10" t="inlineStr">
        <is>
          <t>Faxina</t>
        </is>
      </c>
      <c r="D10" t="inlineStr">
        <is>
          <t>yes</t>
        </is>
      </c>
      <c r="E10" t="inlineStr">
        <is>
          <t>Importado</t>
        </is>
      </c>
    </row>
    <row r="11">
      <c r="A11" t="inlineStr">
        <is>
          <t>CAT-010</t>
        </is>
      </c>
      <c r="B11" t="inlineStr">
        <is>
          <t>expense</t>
        </is>
      </c>
      <c r="C11" t="inlineStr">
        <is>
          <t>Seguro Carro</t>
        </is>
      </c>
      <c r="D11" t="inlineStr">
        <is>
          <t>yes</t>
        </is>
      </c>
      <c r="E11" t="inlineStr">
        <is>
          <t>Importado</t>
        </is>
      </c>
    </row>
    <row r="12">
      <c r="A12" t="inlineStr">
        <is>
          <t>CAT-011</t>
        </is>
      </c>
      <c r="B12" t="inlineStr">
        <is>
          <t>expense</t>
        </is>
      </c>
      <c r="C12" t="inlineStr">
        <is>
          <t>Assinaturas Mensais</t>
        </is>
      </c>
      <c r="D12" t="inlineStr">
        <is>
          <t>yes</t>
        </is>
      </c>
      <c r="E12" t="inlineStr">
        <is>
          <t>Importado</t>
        </is>
      </c>
    </row>
    <row r="13">
      <c r="A13" t="inlineStr">
        <is>
          <t>CAT-012</t>
        </is>
      </c>
      <c r="B13" t="inlineStr">
        <is>
          <t>expense</t>
        </is>
      </c>
      <c r="C13" t="inlineStr">
        <is>
          <t>Assinaturas Anuais</t>
        </is>
      </c>
      <c r="D13" t="inlineStr">
        <is>
          <t>yes</t>
        </is>
      </c>
      <c r="E13" t="inlineStr">
        <is>
          <t>Importado</t>
        </is>
      </c>
    </row>
    <row r="14">
      <c r="A14" t="inlineStr">
        <is>
          <t>CAT-013</t>
        </is>
      </c>
      <c r="B14" t="inlineStr">
        <is>
          <t>expense</t>
        </is>
      </c>
      <c r="C14" t="inlineStr">
        <is>
          <t>Fretado</t>
        </is>
      </c>
      <c r="D14" t="inlineStr">
        <is>
          <t>yes</t>
        </is>
      </c>
      <c r="E14" t="inlineStr">
        <is>
          <t>Importado</t>
        </is>
      </c>
    </row>
    <row r="15">
      <c r="A15" t="inlineStr">
        <is>
          <t>CAT-014</t>
        </is>
      </c>
      <c r="B15" t="inlineStr">
        <is>
          <t>expense</t>
        </is>
      </c>
      <c r="C15" t="inlineStr">
        <is>
          <t>Isabel</t>
        </is>
      </c>
      <c r="D15" t="inlineStr">
        <is>
          <t>yes</t>
        </is>
      </c>
      <c r="E15" t="inlineStr">
        <is>
          <t>Importado</t>
        </is>
      </c>
    </row>
    <row r="16">
      <c r="A16" t="inlineStr">
        <is>
          <t>CAT-015</t>
        </is>
      </c>
      <c r="B16" t="inlineStr">
        <is>
          <t>income</t>
        </is>
      </c>
      <c r="C16" t="inlineStr">
        <is>
          <t>Vale Alimentação</t>
        </is>
      </c>
      <c r="D16" t="inlineStr">
        <is>
          <t>yes</t>
        </is>
      </c>
      <c r="E16" t="inlineStr">
        <is>
          <t>Importado</t>
        </is>
      </c>
    </row>
    <row r="17">
      <c r="A17" t="inlineStr">
        <is>
          <t>CAT-016</t>
        </is>
      </c>
      <c r="B17" t="inlineStr">
        <is>
          <t>income</t>
        </is>
      </c>
      <c r="C17" t="inlineStr">
        <is>
          <t>Pagamento</t>
        </is>
      </c>
      <c r="D17" t="inlineStr">
        <is>
          <t>yes</t>
        </is>
      </c>
      <c r="E17" t="inlineStr">
        <is>
          <t>Importado</t>
        </is>
      </c>
    </row>
  </sheetData>
  <dataValidations count="2">
    <dataValidation sqref="B2:B2000" showDropDown="0" showInputMessage="0" showErrorMessage="0" allowBlank="1" type="list">
      <formula1>=Listas!$A$2:$A$3</formula1>
    </dataValidation>
    <dataValidation sqref="D2:D2000" showDropDown="0" showInputMessage="0" showErrorMessage="0" allowBlank="1" type="list">
      <formula1>=Listas!$D$2:$D$3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6" customWidth="1" min="4" max="4"/>
    <col width="38" customWidth="1" min="5" max="5"/>
  </cols>
  <sheetData>
    <row r="1">
      <c r="A1" s="2" t="inlineStr">
        <is>
          <t>month</t>
        </is>
      </c>
      <c r="B1" s="2" t="inlineStr">
        <is>
          <t>nature</t>
        </is>
      </c>
      <c r="C1" s="2" t="inlineStr">
        <is>
          <t>category_name</t>
        </is>
      </c>
      <c r="D1" s="2" t="inlineStr">
        <is>
          <t>planned_amount</t>
        </is>
      </c>
      <c r="E1" s="2" t="inlineStr">
        <is>
          <t>notes</t>
        </is>
      </c>
    </row>
    <row r="2">
      <c r="A2" s="3" t="n">
        <v>46054</v>
      </c>
      <c r="B2" t="inlineStr">
        <is>
          <t>expense</t>
        </is>
      </c>
      <c r="C2" t="inlineStr">
        <is>
          <t>Alimentação</t>
        </is>
      </c>
      <c r="D2" s="4" t="n">
        <v>3000</v>
      </c>
      <c r="E2" t="inlineStr">
        <is>
          <t>Planejado da planilha base</t>
        </is>
      </c>
    </row>
    <row r="3">
      <c r="A3" s="3" t="n">
        <v>46054</v>
      </c>
      <c r="B3" t="inlineStr">
        <is>
          <t>expense</t>
        </is>
      </c>
      <c r="C3" t="inlineStr">
        <is>
          <t>Água</t>
        </is>
      </c>
      <c r="D3" s="4" t="n">
        <v>200</v>
      </c>
      <c r="E3" t="inlineStr">
        <is>
          <t>Planejado da planilha base</t>
        </is>
      </c>
    </row>
    <row r="4">
      <c r="A4" s="3" t="n">
        <v>46054</v>
      </c>
      <c r="B4" t="inlineStr">
        <is>
          <t>expense</t>
        </is>
      </c>
      <c r="C4" t="inlineStr">
        <is>
          <t>Luz</t>
        </is>
      </c>
      <c r="D4" s="4" t="n">
        <v>300</v>
      </c>
      <c r="E4" t="inlineStr">
        <is>
          <t>Planejado da planilha base</t>
        </is>
      </c>
    </row>
    <row r="5">
      <c r="A5" s="3" t="n">
        <v>46054</v>
      </c>
      <c r="B5" t="inlineStr">
        <is>
          <t>expense</t>
        </is>
      </c>
      <c r="C5" t="inlineStr">
        <is>
          <t>Internet</t>
        </is>
      </c>
      <c r="D5" s="4" t="n">
        <v>135</v>
      </c>
      <c r="E5" t="inlineStr">
        <is>
          <t>Planejado da planilha base</t>
        </is>
      </c>
    </row>
    <row r="6">
      <c r="A6" s="3" t="n">
        <v>46054</v>
      </c>
      <c r="B6" t="inlineStr">
        <is>
          <t>expense</t>
        </is>
      </c>
      <c r="C6" t="inlineStr">
        <is>
          <t>Transporte</t>
        </is>
      </c>
      <c r="D6" s="4" t="n">
        <v>400</v>
      </c>
      <c r="E6" t="inlineStr">
        <is>
          <t>Planejado da planilha base</t>
        </is>
      </c>
    </row>
    <row r="7">
      <c r="A7" s="3" t="n">
        <v>46054</v>
      </c>
      <c r="B7" t="inlineStr">
        <is>
          <t>expense</t>
        </is>
      </c>
      <c r="C7" t="inlineStr">
        <is>
          <t>Moradia</t>
        </is>
      </c>
      <c r="D7" s="4" t="n">
        <v>5500</v>
      </c>
      <c r="E7" t="inlineStr">
        <is>
          <t>Planejado da planilha base</t>
        </is>
      </c>
    </row>
    <row r="8">
      <c r="A8" s="3" t="n">
        <v>46054</v>
      </c>
      <c r="B8" t="inlineStr">
        <is>
          <t>expense</t>
        </is>
      </c>
      <c r="C8" t="inlineStr">
        <is>
          <t>Celular</t>
        </is>
      </c>
      <c r="D8" s="4" t="n">
        <v>83</v>
      </c>
      <c r="E8" t="inlineStr">
        <is>
          <t>Planejado da planilha base</t>
        </is>
      </c>
    </row>
    <row r="9">
      <c r="A9" s="3" t="n">
        <v>46054</v>
      </c>
      <c r="B9" t="inlineStr">
        <is>
          <t>expense</t>
        </is>
      </c>
      <c r="C9" t="inlineStr">
        <is>
          <t>Animais de estimação</t>
        </is>
      </c>
      <c r="D9" s="4" t="n">
        <v>600</v>
      </c>
      <c r="E9" t="inlineStr">
        <is>
          <t>Planejado da planilha base</t>
        </is>
      </c>
    </row>
    <row r="10">
      <c r="A10" s="3" t="n">
        <v>46054</v>
      </c>
      <c r="B10" t="inlineStr">
        <is>
          <t>expense</t>
        </is>
      </c>
      <c r="C10" t="inlineStr">
        <is>
          <t>Faxina</t>
        </is>
      </c>
      <c r="D10" s="4" t="n">
        <v>1600</v>
      </c>
      <c r="E10" t="inlineStr">
        <is>
          <t>Planejado da planilha base</t>
        </is>
      </c>
    </row>
    <row r="11">
      <c r="A11" s="3" t="n">
        <v>46054</v>
      </c>
      <c r="B11" t="inlineStr">
        <is>
          <t>expense</t>
        </is>
      </c>
      <c r="C11" t="inlineStr">
        <is>
          <t>Seguro Carro</t>
        </is>
      </c>
      <c r="D11" s="4" t="n">
        <v>310</v>
      </c>
      <c r="E11" t="inlineStr">
        <is>
          <t>Planejado da planilha base</t>
        </is>
      </c>
    </row>
    <row r="12">
      <c r="A12" s="3" t="n">
        <v>46054</v>
      </c>
      <c r="B12" t="inlineStr">
        <is>
          <t>expense</t>
        </is>
      </c>
      <c r="C12" t="inlineStr">
        <is>
          <t>Assinaturas Mensais</t>
        </is>
      </c>
      <c r="D12" s="4" t="n">
        <v>692</v>
      </c>
      <c r="E12" t="inlineStr">
        <is>
          <t>Planejado da planilha base</t>
        </is>
      </c>
    </row>
    <row r="13">
      <c r="A13" s="3" t="n">
        <v>46054</v>
      </c>
      <c r="B13" t="inlineStr">
        <is>
          <t>expense</t>
        </is>
      </c>
      <c r="C13" t="inlineStr">
        <is>
          <t>Assinaturas Anuais</t>
        </is>
      </c>
      <c r="D13" s="4" t="n">
        <v>132.075</v>
      </c>
      <c r="E13" t="inlineStr">
        <is>
          <t>Planejado da planilha base</t>
        </is>
      </c>
    </row>
    <row r="14">
      <c r="A14" s="3" t="n">
        <v>46054</v>
      </c>
      <c r="B14" t="inlineStr">
        <is>
          <t>expense</t>
        </is>
      </c>
      <c r="C14" t="inlineStr">
        <is>
          <t>Fretado</t>
        </is>
      </c>
      <c r="D14" s="4" t="n">
        <v>100</v>
      </c>
      <c r="E14" t="inlineStr">
        <is>
          <t>Planejado da planilha base</t>
        </is>
      </c>
    </row>
    <row r="15">
      <c r="A15" s="3" t="n">
        <v>46054</v>
      </c>
      <c r="B15" t="inlineStr">
        <is>
          <t>expense</t>
        </is>
      </c>
      <c r="C15" t="inlineStr">
        <is>
          <t>Isabel</t>
        </is>
      </c>
      <c r="D15" s="4" t="n">
        <v>500</v>
      </c>
      <c r="E15" t="inlineStr">
        <is>
          <t>Planejado da planilha base</t>
        </is>
      </c>
    </row>
    <row r="16">
      <c r="A16" s="3" t="n">
        <v>46054</v>
      </c>
      <c r="B16" t="inlineStr">
        <is>
          <t>income</t>
        </is>
      </c>
      <c r="C16" t="inlineStr">
        <is>
          <t>Vale Alimentação</t>
        </is>
      </c>
      <c r="D16" s="4" t="n">
        <v>1549</v>
      </c>
      <c r="E16" t="inlineStr">
        <is>
          <t>Planejado da planilha base</t>
        </is>
      </c>
    </row>
    <row r="17">
      <c r="A17" s="3" t="n">
        <v>46054</v>
      </c>
      <c r="B17" t="inlineStr">
        <is>
          <t>income</t>
        </is>
      </c>
      <c r="C17" t="inlineStr">
        <is>
          <t>Pagamento</t>
        </is>
      </c>
      <c r="D17" s="4" t="n">
        <v>12418</v>
      </c>
      <c r="E17" t="inlineStr">
        <is>
          <t>Planejado da planilha base</t>
        </is>
      </c>
    </row>
  </sheetData>
  <dataValidations count="1">
    <dataValidation sqref="B2:B2000" showDropDown="0" showInputMessage="0" showErrorMessage="0" allowBlank="1" type="list">
      <formula1>=Listas!$A$2:$A$3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2" customWidth="1" min="5" max="5"/>
    <col width="14" customWidth="1" min="6" max="6"/>
    <col width="20" customWidth="1" min="7" max="7"/>
    <col width="10" customWidth="1" min="8" max="8"/>
    <col width="36" customWidth="1" min="9" max="9"/>
  </cols>
  <sheetData>
    <row r="1">
      <c r="A1" s="2" t="inlineStr">
        <is>
          <t>subscription_id</t>
        </is>
      </c>
      <c r="B1" s="2" t="inlineStr">
        <is>
          <t>name</t>
        </is>
      </c>
      <c r="C1" s="2" t="inlineStr">
        <is>
          <t>amount</t>
        </is>
      </c>
      <c r="D1" s="2" t="inlineStr">
        <is>
          <t>frequency</t>
        </is>
      </c>
      <c r="E1" s="2" t="inlineStr">
        <is>
          <t>start_date</t>
        </is>
      </c>
      <c r="F1" s="2" t="inlineStr">
        <is>
          <t>day_of_month</t>
        </is>
      </c>
      <c r="G1" s="2" t="inlineStr">
        <is>
          <t>category_name</t>
        </is>
      </c>
      <c r="H1" s="2" t="inlineStr">
        <is>
          <t>active</t>
        </is>
      </c>
      <c r="I1" s="2" t="inlineStr">
        <is>
          <t>notes</t>
        </is>
      </c>
    </row>
    <row r="2">
      <c r="A2" t="inlineStr">
        <is>
          <t>SUB-001</t>
        </is>
      </c>
      <c r="B2" t="inlineStr">
        <is>
          <t>chatgpt</t>
        </is>
      </c>
      <c r="C2" s="4" t="n">
        <v>100</v>
      </c>
      <c r="D2" t="inlineStr">
        <is>
          <t>monthly</t>
        </is>
      </c>
      <c r="E2" s="5" t="n">
        <v>46075</v>
      </c>
      <c r="F2" t="n">
        <v>1</v>
      </c>
      <c r="G2" t="inlineStr">
        <is>
          <t>Assinaturas</t>
        </is>
      </c>
      <c r="H2" t="inlineStr">
        <is>
          <t>yes</t>
        </is>
      </c>
      <c r="I2" t="inlineStr">
        <is>
          <t>Importado da planilha original</t>
        </is>
      </c>
    </row>
    <row r="3">
      <c r="A3" t="inlineStr">
        <is>
          <t>SUB-002</t>
        </is>
      </c>
      <c r="B3" t="inlineStr">
        <is>
          <t>netflix</t>
        </is>
      </c>
      <c r="C3" s="4" t="n">
        <v>45</v>
      </c>
      <c r="D3" t="inlineStr">
        <is>
          <t>monthly</t>
        </is>
      </c>
      <c r="E3" s="5" t="n">
        <v>46075</v>
      </c>
      <c r="F3" t="n">
        <v>1</v>
      </c>
      <c r="G3" t="inlineStr">
        <is>
          <t>Assinaturas</t>
        </is>
      </c>
      <c r="H3" t="inlineStr">
        <is>
          <t>yes</t>
        </is>
      </c>
      <c r="I3" t="inlineStr">
        <is>
          <t>Importado da planilha original</t>
        </is>
      </c>
    </row>
    <row r="4">
      <c r="A4" t="inlineStr">
        <is>
          <t>SUB-003</t>
        </is>
      </c>
      <c r="B4" t="inlineStr">
        <is>
          <t>contabilizei'</t>
        </is>
      </c>
      <c r="C4" s="4" t="n">
        <v>120</v>
      </c>
      <c r="D4" t="inlineStr">
        <is>
          <t>monthly</t>
        </is>
      </c>
      <c r="E4" s="5" t="n">
        <v>46075</v>
      </c>
      <c r="F4" t="n">
        <v>1</v>
      </c>
      <c r="G4" t="inlineStr">
        <is>
          <t>Assinaturas</t>
        </is>
      </c>
      <c r="H4" t="inlineStr">
        <is>
          <t>yes</t>
        </is>
      </c>
      <c r="I4" t="inlineStr">
        <is>
          <t>Importado da planilha original</t>
        </is>
      </c>
    </row>
    <row r="5">
      <c r="A5" t="inlineStr">
        <is>
          <t>SUB-004</t>
        </is>
      </c>
      <c r="B5" t="inlineStr">
        <is>
          <t>youtube</t>
        </is>
      </c>
      <c r="C5" s="4" t="n">
        <v>54</v>
      </c>
      <c r="D5" t="inlineStr">
        <is>
          <t>monthly</t>
        </is>
      </c>
      <c r="E5" s="5" t="n">
        <v>46075</v>
      </c>
      <c r="F5" t="n">
        <v>1</v>
      </c>
      <c r="G5" t="inlineStr">
        <is>
          <t>Assinaturas</t>
        </is>
      </c>
      <c r="H5" t="inlineStr">
        <is>
          <t>yes</t>
        </is>
      </c>
      <c r="I5" t="inlineStr">
        <is>
          <t>Importado da planilha original</t>
        </is>
      </c>
    </row>
    <row r="6">
      <c r="A6" t="inlineStr">
        <is>
          <t>SUB-005</t>
        </is>
      </c>
      <c r="B6" t="inlineStr">
        <is>
          <t>gympass</t>
        </is>
      </c>
      <c r="C6" s="4" t="n">
        <v>300</v>
      </c>
      <c r="D6" t="inlineStr">
        <is>
          <t>monthly</t>
        </is>
      </c>
      <c r="E6" s="5" t="n">
        <v>46075</v>
      </c>
      <c r="F6" t="n">
        <v>1</v>
      </c>
      <c r="G6" t="inlineStr">
        <is>
          <t>Assinaturas</t>
        </is>
      </c>
      <c r="H6" t="inlineStr">
        <is>
          <t>yes</t>
        </is>
      </c>
      <c r="I6" t="inlineStr">
        <is>
          <t>Importado da planilha original</t>
        </is>
      </c>
    </row>
    <row r="7">
      <c r="A7" t="inlineStr">
        <is>
          <t>SUB-006</t>
        </is>
      </c>
      <c r="B7" t="inlineStr">
        <is>
          <t>google one</t>
        </is>
      </c>
      <c r="C7" s="4" t="n">
        <v>15</v>
      </c>
      <c r="D7" t="inlineStr">
        <is>
          <t>monthly</t>
        </is>
      </c>
      <c r="E7" s="5" t="n">
        <v>46075</v>
      </c>
      <c r="F7" t="n">
        <v>1</v>
      </c>
      <c r="G7" t="inlineStr">
        <is>
          <t>Assinaturas</t>
        </is>
      </c>
      <c r="H7" t="inlineStr">
        <is>
          <t>yes</t>
        </is>
      </c>
      <c r="I7" t="inlineStr">
        <is>
          <t>Importado da planilha original</t>
        </is>
      </c>
    </row>
    <row r="8">
      <c r="A8" t="inlineStr">
        <is>
          <t>SUB-007</t>
        </is>
      </c>
      <c r="B8" t="inlineStr">
        <is>
          <t>copilot</t>
        </is>
      </c>
      <c r="C8" s="4" t="n">
        <v>58</v>
      </c>
      <c r="D8" t="inlineStr">
        <is>
          <t>monthly</t>
        </is>
      </c>
      <c r="E8" s="5" t="n">
        <v>46075</v>
      </c>
      <c r="F8" t="n">
        <v>1</v>
      </c>
      <c r="G8" t="inlineStr">
        <is>
          <t>Assinaturas</t>
        </is>
      </c>
      <c r="H8" t="inlineStr">
        <is>
          <t>yes</t>
        </is>
      </c>
      <c r="I8" t="inlineStr">
        <is>
          <t>Importado da planilha original</t>
        </is>
      </c>
    </row>
    <row r="9">
      <c r="A9" t="inlineStr">
        <is>
          <t>SUB-008</t>
        </is>
      </c>
      <c r="B9" t="inlineStr">
        <is>
          <t>inshot</t>
        </is>
      </c>
      <c r="C9" s="4" t="n">
        <v>64.90000000000001</v>
      </c>
      <c r="D9" t="inlineStr">
        <is>
          <t>yearly</t>
        </is>
      </c>
      <c r="E9" s="5" t="n">
        <v>46075</v>
      </c>
      <c r="F9" t="n">
        <v>1</v>
      </c>
      <c r="G9" t="inlineStr">
        <is>
          <t>Assinaturas</t>
        </is>
      </c>
      <c r="H9" t="inlineStr">
        <is>
          <t>yes</t>
        </is>
      </c>
      <c r="I9" t="inlineStr">
        <is>
          <t>Importado da planilha original</t>
        </is>
      </c>
    </row>
    <row r="10">
      <c r="A10" t="inlineStr">
        <is>
          <t>SUB-009</t>
        </is>
      </c>
      <c r="B10" t="inlineStr">
        <is>
          <t>lightroom</t>
        </is>
      </c>
      <c r="C10" s="4" t="n">
        <v>100</v>
      </c>
      <c r="D10" t="inlineStr">
        <is>
          <t>yearly</t>
        </is>
      </c>
      <c r="E10" s="5" t="n">
        <v>46075</v>
      </c>
      <c r="F10" t="n">
        <v>1</v>
      </c>
      <c r="G10" t="inlineStr">
        <is>
          <t>Assinaturas</t>
        </is>
      </c>
      <c r="H10" t="inlineStr">
        <is>
          <t>yes</t>
        </is>
      </c>
      <c r="I10" t="inlineStr">
        <is>
          <t>Importado da planilha original</t>
        </is>
      </c>
    </row>
    <row r="11">
      <c r="A11" t="inlineStr">
        <is>
          <t>SUB-010</t>
        </is>
      </c>
      <c r="B11" t="inlineStr">
        <is>
          <t>faceapp</t>
        </is>
      </c>
      <c r="C11" s="4" t="n">
        <v>120</v>
      </c>
      <c r="D11" t="inlineStr">
        <is>
          <t>yearly</t>
        </is>
      </c>
      <c r="E11" s="5" t="n">
        <v>46075</v>
      </c>
      <c r="F11" t="n">
        <v>1</v>
      </c>
      <c r="G11" t="inlineStr">
        <is>
          <t>Assinaturas</t>
        </is>
      </c>
      <c r="H11" t="inlineStr">
        <is>
          <t>yes</t>
        </is>
      </c>
      <c r="I11" t="inlineStr">
        <is>
          <t>Importado da planilha original</t>
        </is>
      </c>
    </row>
    <row r="12">
      <c r="A12" t="inlineStr">
        <is>
          <t>SUB-011</t>
        </is>
      </c>
      <c r="B12" t="inlineStr">
        <is>
          <t>facetune</t>
        </is>
      </c>
      <c r="C12" s="4" t="n">
        <v>300</v>
      </c>
      <c r="D12" t="inlineStr">
        <is>
          <t>yearly</t>
        </is>
      </c>
      <c r="E12" s="5" t="n">
        <v>46075</v>
      </c>
      <c r="F12" t="n">
        <v>1</v>
      </c>
      <c r="G12" t="inlineStr">
        <is>
          <t>Assinaturas</t>
        </is>
      </c>
      <c r="H12" t="inlineStr">
        <is>
          <t>yes</t>
        </is>
      </c>
      <c r="I12" t="inlineStr">
        <is>
          <t>Importado da planilha original</t>
        </is>
      </c>
    </row>
    <row r="13">
      <c r="A13" t="inlineStr">
        <is>
          <t>SUB-012</t>
        </is>
      </c>
      <c r="B13" t="inlineStr">
        <is>
          <t>webdiet</t>
        </is>
      </c>
      <c r="C13" s="4" t="n">
        <v>1000</v>
      </c>
      <c r="D13" t="inlineStr">
        <is>
          <t>yearly</t>
        </is>
      </c>
      <c r="E13" s="5" t="n">
        <v>46075</v>
      </c>
      <c r="F13" t="n">
        <v>1</v>
      </c>
      <c r="G13" t="inlineStr">
        <is>
          <t>Assinaturas</t>
        </is>
      </c>
      <c r="H13" t="inlineStr">
        <is>
          <t>yes</t>
        </is>
      </c>
      <c r="I13" t="inlineStr">
        <is>
          <t>Importado da planilha original</t>
        </is>
      </c>
    </row>
  </sheetData>
  <dataValidations count="2">
    <dataValidation sqref="D2:D2000" showDropDown="0" showInputMessage="0" showErrorMessage="0" allowBlank="1" type="list">
      <formula1>=Listas!$C$2:$C$3</formula1>
    </dataValidation>
    <dataValidation sqref="H2:H2000" showDropDown="0" showInputMessage="0" showErrorMessage="0" allowBlank="1" type="list">
      <formula1>=Listas!$D$2:$D$3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4" customWidth="1" min="4" max="4"/>
    <col width="12" customWidth="1" min="5" max="5"/>
    <col width="14" customWidth="1" min="6" max="6"/>
    <col width="20" customWidth="1" min="7" max="7"/>
    <col width="20" customWidth="1" min="8" max="8"/>
    <col width="10" customWidth="1" min="9" max="9"/>
    <col width="34" customWidth="1" min="10" max="10"/>
  </cols>
  <sheetData>
    <row r="1">
      <c r="A1" s="2" t="inlineStr">
        <is>
          <t>installment_id</t>
        </is>
      </c>
      <c r="B1" s="2" t="inlineStr">
        <is>
          <t>description</t>
        </is>
      </c>
      <c r="C1" s="2" t="inlineStr">
        <is>
          <t>total_installments</t>
        </is>
      </c>
      <c r="D1" s="2" t="inlineStr">
        <is>
          <t>total_amount</t>
        </is>
      </c>
      <c r="E1" s="2" t="inlineStr">
        <is>
          <t>purchase_date</t>
        </is>
      </c>
      <c r="F1" s="2" t="inlineStr">
        <is>
          <t>first_due_date</t>
        </is>
      </c>
      <c r="G1" s="2" t="inlineStr">
        <is>
          <t>category_name</t>
        </is>
      </c>
      <c r="H1" s="2" t="inlineStr">
        <is>
          <t>store</t>
        </is>
      </c>
      <c r="I1" s="2" t="inlineStr">
        <is>
          <t>active</t>
        </is>
      </c>
      <c r="J1" s="2" t="inlineStr">
        <is>
          <t>notes</t>
        </is>
      </c>
    </row>
    <row r="2">
      <c r="A2" t="inlineStr">
        <is>
          <t>PAR-001</t>
        </is>
      </c>
      <c r="B2" t="inlineStr"/>
      <c r="C2" t="n">
        <v>12</v>
      </c>
      <c r="D2" s="4" t="n">
        <v>0</v>
      </c>
      <c r="E2" s="5" t="n">
        <v>46075</v>
      </c>
      <c r="F2" s="5" t="n">
        <v>46075</v>
      </c>
      <c r="G2" t="inlineStr"/>
      <c r="H2" t="inlineStr"/>
      <c r="I2" t="inlineStr">
        <is>
          <t>yes</t>
        </is>
      </c>
      <c r="J2" t="inlineStr"/>
    </row>
  </sheetData>
  <dataValidations count="1">
    <dataValidation sqref="I2:I2000" showDropDown="0" showInputMessage="0" showErrorMessage="0" allowBlank="1" type="list">
      <formula1>=Listas!$D$2:$D$3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4" customWidth="1" min="5" max="5"/>
    <col width="36" customWidth="1" min="6" max="6"/>
    <col width="12" customWidth="1" min="7" max="7"/>
    <col width="16" customWidth="1" min="8" max="8"/>
    <col width="16" customWidth="1" min="9" max="9"/>
    <col width="36" customWidth="1" min="10" max="10"/>
  </cols>
  <sheetData>
    <row r="1">
      <c r="A1" s="2" t="inlineStr">
        <is>
          <t>transaction_id</t>
        </is>
      </c>
      <c r="B1" s="2" t="inlineStr">
        <is>
          <t>date</t>
        </is>
      </c>
      <c r="C1" s="2" t="inlineStr">
        <is>
          <t>nature</t>
        </is>
      </c>
      <c r="D1" s="2" t="inlineStr">
        <is>
          <t>entry_type</t>
        </is>
      </c>
      <c r="E1" s="2" t="inlineStr">
        <is>
          <t>category_name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reference_id</t>
        </is>
      </c>
      <c r="I1" s="2" t="inlineStr">
        <is>
          <t>account</t>
        </is>
      </c>
      <c r="J1" s="2" t="inlineStr">
        <is>
          <t>notes</t>
        </is>
      </c>
    </row>
    <row r="2">
      <c r="A2" t="inlineStr">
        <is>
          <t>TX-0001</t>
        </is>
      </c>
      <c r="B2" s="5" t="n">
        <v>36781</v>
      </c>
      <c r="C2" t="inlineStr">
        <is>
          <t>expense</t>
        </is>
      </c>
      <c r="D2" t="inlineStr">
        <is>
          <t>one_off</t>
        </is>
      </c>
      <c r="E2" t="inlineStr">
        <is>
          <t>Moradia</t>
        </is>
      </c>
      <c r="F2" t="inlineStr">
        <is>
          <t>Aluguel</t>
        </is>
      </c>
      <c r="G2" s="4" t="n">
        <v>1100</v>
      </c>
      <c r="H2" t="inlineStr"/>
      <c r="I2" t="inlineStr"/>
      <c r="J2" t="inlineStr">
        <is>
          <t>Importado da aba Transações</t>
        </is>
      </c>
    </row>
    <row r="3">
      <c r="A3" t="inlineStr">
        <is>
          <t>TX-0002</t>
        </is>
      </c>
      <c r="B3" s="5" t="n">
        <v>36781</v>
      </c>
      <c r="C3" t="inlineStr">
        <is>
          <t>income</t>
        </is>
      </c>
      <c r="D3" t="inlineStr">
        <is>
          <t>one_off</t>
        </is>
      </c>
      <c r="E3" t="inlineStr">
        <is>
          <t>Pagamento</t>
        </is>
      </c>
      <c r="F3" t="inlineStr">
        <is>
          <t>Pagamento</t>
        </is>
      </c>
      <c r="G3" s="4" t="n">
        <v>12418</v>
      </c>
      <c r="H3" t="inlineStr"/>
      <c r="I3" t="inlineStr"/>
      <c r="J3" t="inlineStr">
        <is>
          <t>Importado da aba Transações</t>
        </is>
      </c>
    </row>
  </sheetData>
  <dataValidations count="2">
    <dataValidation sqref="C2:C2000" showDropDown="0" showInputMessage="0" showErrorMessage="0" allowBlank="1" type="list">
      <formula1>=Listas!$A$2:$A$3</formula1>
    </dataValidation>
    <dataValidation sqref="D2:D2000" showDropDown="0" showInputMessage="0" showErrorMessage="0" allowBlank="1" type="list">
      <formula1>=Listas!$B$2:$B$4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6" t="inlineStr">
        <is>
          <t>Mês de referência (primeiro dia do mês)</t>
        </is>
      </c>
      <c r="B1" s="5" t="n">
        <v>46054</v>
      </c>
    </row>
    <row r="3">
      <c r="A3" t="inlineStr">
        <is>
          <t>Receita do mês</t>
        </is>
      </c>
      <c r="B3" s="4">
        <f>SUMIFS(tbl_transactions[amount],tbl_transactions[nature],"income",tbl_transactions[date],"&gt;="&amp;$B$1,tbl_transactions[date],"&lt;="&amp;EOMONTH($B$1,0))</f>
        <v/>
      </c>
    </row>
    <row r="4">
      <c r="A4" t="inlineStr">
        <is>
          <t>Despesa do mês</t>
        </is>
      </c>
      <c r="B4" s="4">
        <f>SUMIFS(tbl_transactions[amount],tbl_transactions[nature],"expense",tbl_transactions[date],"&gt;="&amp;$B$1,tbl_transactions[date],"&lt;="&amp;EOMONTH($B$1,0))</f>
        <v/>
      </c>
    </row>
    <row r="5">
      <c r="A5" t="inlineStr">
        <is>
          <t>Saldo do mês</t>
        </is>
      </c>
      <c r="B5" s="4">
        <f>B3-B4</f>
        <v/>
      </c>
    </row>
    <row r="6">
      <c r="A6" t="inlineStr">
        <is>
          <t>Taxa de economia</t>
        </is>
      </c>
      <c r="B6" s="7">
        <f>IFERROR(B5/B3,0)</f>
        <v/>
      </c>
    </row>
    <row r="8">
      <c r="A8" t="inlineStr">
        <is>
          <t>Orçamento de Despesas</t>
        </is>
      </c>
      <c r="B8" s="4">
        <f>SUMIFS(tbl_budget[planned_amount],tbl_budget[nature],"expense",tbl_budget[month],$B$1)</f>
        <v/>
      </c>
    </row>
    <row r="9">
      <c r="A9" t="inlineStr">
        <is>
          <t>Orçamento de Receitas</t>
        </is>
      </c>
      <c r="B9" s="4">
        <f>SUMIFS(tbl_budget[planned_amount],tbl_budget[nature],"income",tbl_budget[month],$B$1)</f>
        <v/>
      </c>
    </row>
    <row r="10">
      <c r="A10" t="inlineStr">
        <is>
          <t>Diferença despesa real vs orçamento</t>
        </is>
      </c>
      <c r="B10" s="4">
        <f>B8-B4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2026-02-22T18:02:55Z</dcterms:created>
  <dcterms:modified xmlns:dcterms="http://purl.org/dc/terms/" xmlns:xsi="http://www.w3.org/2001/XMLSchema-instance" xsi:type="dcterms:W3CDTF">2026-02-22T18:02:55Z</dcterms:modified>
</cp:coreProperties>
</file>